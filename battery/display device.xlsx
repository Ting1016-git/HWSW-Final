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240"/>
  </bookViews>
  <sheets>
    <sheet name="System Parameters" sheetId="1" r:id="rId1"/>
    <sheet name="Sensitivity Analysi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<sst xmlns="http://schemas.openxmlformats.org/spreadsheetml/2006/main" count="76" uniqueCount="56">
  <si>
    <t>Display Device</t>
  </si>
  <si>
    <t>System Parameters (defined by hardware)</t>
  </si>
  <si>
    <t>Profiles (usage of each component mode - defined by software and usage)</t>
  </si>
  <si>
    <t>form the datasheets</t>
  </si>
  <si>
    <t>"off"</t>
  </si>
  <si>
    <t>"sensing"</t>
  </si>
  <si>
    <t>"interactive"</t>
  </si>
  <si>
    <t>Processor</t>
  </si>
  <si>
    <t>Active</t>
  </si>
  <si>
    <t>mW</t>
  </si>
  <si>
    <t>Idle</t>
  </si>
  <si>
    <t>Sleep</t>
  </si>
  <si>
    <t>LED</t>
  </si>
  <si>
    <t>On</t>
  </si>
  <si>
    <t>Sensor</t>
  </si>
  <si>
    <t>Off</t>
  </si>
  <si>
    <t>Display</t>
  </si>
  <si>
    <t>Off (leakage)</t>
  </si>
  <si>
    <t>Radio</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</si>
  <si>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</si>
  <si>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</si>
  <si>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</si>
  <si>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</si>
  <si>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</si>
  <si>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</si>
  <si>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</si>
  <si>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</si>
  <si>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</si>
  <si>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</si>
  <si>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</si>
  <si>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</si>
  <si>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</si>
  <si>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</si>
  <si>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</si>
  <si>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</si>
  <si>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</si>
  <si>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</si>
  <si>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</si>
  <si>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</si>
  <si>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 xml:space="preserve">REFLECTIONS : WHAT DID YOU LEARN FROM ANALYZING YOUR POWER.  TALK ABOUT SOME POTENTIAL TRADEOFFS. </t>
  </si>
  <si>
    <t>The "days of use" metric was derived from the effective battery capacity (3400mAh × 3.7V × 0.85 MT3608 efficiency = 10,693 mWh) divided by the weighted daily energy consumption: 12 hours off (0.16 mW), 8 hours standby (132 mW), and 4 hours interactive (1085 mW), resulting in approximately 1.98 days per charge. The 18650 3400mAh battery is a good fit — it provides nearly 2 days of use, and the 18650 form factor is widely available and cost-effective. A smaller battery would risk not lasting a full day; a larger one would add unnecessary bulk. The stepper motor (28BYJ-48) is by far the largest power consumer, drawing up to 1200 mW when stepping and 500 mW just holding position, together accounting for over 50% of the interactive power budget. The most impactful software optimization would be de-energizing the motor coils immediately after movement completes — eliminating holding current when the motor is idle could save ~200 mW during interactive use. The WS2812B 8-LED ring is the second largest consumer (800 mW at full single-color brightness); reducing brightness to 50% in software would halve this with minimal visual impact, as these LEDs are extremely bright. The SH1106 OLED display is quite efficient at only 66 mW and does not warrant optimization. On the hardware side, replacing the 28BYJ-48 with a servo motor that can be powered off after reaching position would be a meaningful tradeoff, though it would increase cost. The MT3608 boost converter's 85% efficiency also means 15% of battery energy is lost as heat — using a more efficient buck-boost converter could recover some of this, but at higher component cost.</t>
  </si>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</sst>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
  </numFmts>
  <fonts count="24">
    <font>
      <sz val="10"/>
      <color rgb="FF000000"/>
      <name val="Arial"/>
      <charset val="134"/>
      <scheme val="minor"/>
    </font>
    <font>
      <sz val="10"/>
      <color theme="1"/>
      <name val="Arial"/>
      <charset val="134"/>
      <scheme val="minor"/>
    </font>
    <font>
      <b/>
      <sz val="14"/>
      <color rgb="FF000000"/>
      <name val="Arial Bold"/>
      <charset val="134"/>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9"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0" applyNumberFormat="0" applyFill="0" applyAlignment="0" applyProtection="0">
      <alignment vertical="center"/>
    </xf>
    <xf numFmtId="0" fontId="11" fillId="0" borderId="10" applyNumberFormat="0" applyFill="0" applyAlignment="0" applyProtection="0">
      <alignment vertical="center"/>
    </xf>
    <xf numFmtId="0" fontId="12" fillId="0" borderId="11" applyNumberFormat="0" applyFill="0" applyAlignment="0" applyProtection="0">
      <alignment vertical="center"/>
    </xf>
    <xf numFmtId="0" fontId="12" fillId="0" borderId="0" applyNumberFormat="0" applyFill="0" applyBorder="0" applyAlignment="0" applyProtection="0">
      <alignment vertical="center"/>
    </xf>
    <xf numFmtId="0" fontId="13" fillId="6" borderId="12" applyNumberFormat="0" applyAlignment="0" applyProtection="0">
      <alignment vertical="center"/>
    </xf>
    <xf numFmtId="0" fontId="14" fillId="7" borderId="13" applyNumberFormat="0" applyAlignment="0" applyProtection="0">
      <alignment vertical="center"/>
    </xf>
    <xf numFmtId="0" fontId="15" fillId="7" borderId="12" applyNumberFormat="0" applyAlignment="0" applyProtection="0">
      <alignment vertical="center"/>
    </xf>
    <xf numFmtId="0" fontId="16" fillId="8" borderId="14" applyNumberFormat="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31">
    <xf numFmtId="0" fontId="0" fillId="0" borderId="0" xfId="0" applyFont="1" applyAlignment="1"/>
    <xf numFmtId="0" fontId="1" fillId="0" borderId="0" xfId="0" applyFont="1" applyAlignment="1"/>
    <xf numFmtId="0" fontId="1" fillId="0" borderId="0" xfId="0" applyFont="1"/>
    <xf numFmtId="1" fontId="1" fillId="0" borderId="0" xfId="0" applyNumberFormat="1" applyFont="1"/>
    <xf numFmtId="9" fontId="1" fillId="0" borderId="0" xfId="0" applyNumberFormat="1" applyFont="1"/>
    <xf numFmtId="10" fontId="1" fillId="0" borderId="0" xfId="0" applyNumberFormat="1" applyFont="1"/>
    <xf numFmtId="0" fontId="2" fillId="0" borderId="0" xfId="0" applyFont="1" applyAlignment="1">
      <alignment horizontal="center"/>
    </xf>
    <xf numFmtId="0" fontId="0" fillId="0" borderId="0" xfId="0" applyFont="1" applyAlignment="1">
      <alignment horizontal="center"/>
    </xf>
    <xf numFmtId="0" fontId="1" fillId="0" borderId="1" xfId="0" applyFont="1" applyBorder="1"/>
    <xf numFmtId="0" fontId="1" fillId="0" borderId="2" xfId="0" applyFont="1" applyBorder="1"/>
    <xf numFmtId="0" fontId="3" fillId="0" borderId="3" xfId="0" applyFont="1" applyBorder="1" applyAlignment="1"/>
    <xf numFmtId="0" fontId="1" fillId="0" borderId="3" xfId="0" applyFont="1" applyBorder="1"/>
    <xf numFmtId="0" fontId="4" fillId="0" borderId="0" xfId="0" applyFont="1" applyAlignment="1"/>
    <xf numFmtId="0" fontId="1" fillId="0" borderId="3" xfId="0" applyFont="1" applyBorder="1" applyAlignment="1"/>
    <xf numFmtId="1" fontId="4" fillId="2" borderId="0" xfId="0" applyNumberFormat="1" applyFont="1" applyFill="1" applyAlignment="1"/>
    <xf numFmtId="1" fontId="1" fillId="2" borderId="0" xfId="0" applyNumberFormat="1" applyFont="1" applyFill="1" applyAlignment="1"/>
    <xf numFmtId="0" fontId="1" fillId="2" borderId="0" xfId="0" applyFont="1" applyFill="1" applyAlignment="1"/>
    <xf numFmtId="9" fontId="1" fillId="2" borderId="0" xfId="0" applyNumberFormat="1" applyFont="1" applyFill="1" applyAlignment="1"/>
    <xf numFmtId="0" fontId="1" fillId="0" borderId="4" xfId="0" applyFont="1" applyBorder="1"/>
    <xf numFmtId="0" fontId="1" fillId="0" borderId="5" xfId="0" applyFont="1" applyBorder="1"/>
    <xf numFmtId="0" fontId="3" fillId="0" borderId="0" xfId="0" applyFont="1" applyAlignment="1"/>
    <xf numFmtId="0" fontId="0" fillId="0" borderId="0" xfId="0" applyFont="1" applyAlignment="1">
      <alignment horizontal="center" wrapText="1"/>
    </xf>
    <xf numFmtId="9" fontId="4" fillId="2" borderId="0" xfId="0" applyNumberFormat="1" applyFont="1" applyFill="1" applyAlignment="1"/>
    <xf numFmtId="0" fontId="1" fillId="0" borderId="6" xfId="0" applyFont="1" applyBorder="1"/>
    <xf numFmtId="0" fontId="1" fillId="0" borderId="7" xfId="0" applyFont="1" applyBorder="1"/>
    <xf numFmtId="0" fontId="1" fillId="3" borderId="0" xfId="0" applyFont="1" applyFill="1" applyAlignment="1"/>
    <xf numFmtId="0" fontId="1" fillId="3" borderId="0" xfId="0" applyFont="1" applyFill="1"/>
    <xf numFmtId="0" fontId="3" fillId="4" borderId="0" xfId="0" applyFont="1" applyFill="1" applyAlignment="1"/>
    <xf numFmtId="0" fontId="1" fillId="0" borderId="8" xfId="0" applyFont="1" applyBorder="1"/>
    <xf numFmtId="176" fontId="1" fillId="3" borderId="0" xfId="0" applyNumberFormat="1" applyFont="1" applyFill="1"/>
    <xf numFmtId="2" fontId="3" fillId="4" borderId="0" xfId="0" applyNumberFormat="1"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Sensitivity Analysis</a:t>
            </a:r>
            <a:endParaRPr b="0">
              <a:solidFill>
                <a:srgbClr val="757575"/>
              </a:solidFill>
              <a:latin typeface="+mn-lt"/>
            </a:endParaRPr>
          </a:p>
        </c:rich>
      </c:tx>
      <c:layout/>
      <c:overlay val="0"/>
    </c:title>
    <c:autoTitleDeleted val="0"/>
    <c:plotArea>
      <c:layout/>
      <c:barChart>
        <c:barDir val="col"/>
        <c:grouping val="none"/>
        <c:varyColors val="0"/>
        <c:ser>
          <c:idx val="0"/>
          <c:order val="0"/>
          <c:invertIfNegative val="0"/>
          <c:dLbls>
            <c:delete val="1"/>
          </c:dLbls>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0.00590172729846938</c:v>
                </c:pt>
                <c:pt idx="1">
                  <c:v>0.00110871733640838</c:v>
                </c:pt>
                <c:pt idx="2">
                  <c:v>0</c:v>
                </c:pt>
                <c:pt idx="3">
                  <c:v>0.0305366821894799</c:v>
                </c:pt>
                <c:pt idx="4">
                  <c:v>0.0273993454600805</c:v>
                </c:pt>
                <c:pt idx="5">
                  <c:v>0.0150387247161439</c:v>
                </c:pt>
                <c:pt idx="6">
                  <c:v>0</c:v>
                </c:pt>
                <c:pt idx="7">
                  <c:v>0.0128757296997164</c:v>
                </c:pt>
                <c:pt idx="8">
                  <c:v>0</c:v>
                </c:pt>
                <c:pt idx="9">
                  <c:v>0.00265165301226311</c:v>
                </c:pt>
                <c:pt idx="10">
                  <c:v>0.00387823170482293</c:v>
                </c:pt>
                <c:pt idx="11">
                  <c:v>0.00269633877305431</c:v>
                </c:pt>
              </c:numCache>
            </c:numRef>
          </c:val>
        </c:ser>
        <c:dLbls>
          <c:showLegendKey val="0"/>
          <c:showVal val="0"/>
          <c:showCatName val="0"/>
          <c:showSerName val="0"/>
          <c:showPercent val="0"/>
          <c:showBubbleSize val="0"/>
        </c:dLbls>
        <c:gapWidth val="150"/>
        <c:axId val="1097685538"/>
        <c:axId val="199577338"/>
      </c:barChart>
      <c:catAx>
        <c:axId val="1097685538"/>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9577338"/>
        <c:crosses val="autoZero"/>
        <c:auto val="1"/>
        <c:lblAlgn val="ctr"/>
        <c:lblOffset val="100"/>
        <c:noMultiLvlLbl val="0"/>
      </c:catAx>
      <c:valAx>
        <c:axId val="199577338"/>
        <c:scaling>
          <c:orientation val="minMax"/>
        </c:scaling>
        <c:delete val="0"/>
        <c:axPos val="l"/>
        <c:numFmt formatCode="0.00%" sourceLinked="1"/>
        <c:majorTickMark val="out"/>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97685538"/>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e61ac007-bb08-4ab8-81d3-5b4e03595778}"/>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Sensitivity Analysis</a:t>
            </a:r>
            <a:endParaRPr b="0">
              <a:solidFill>
                <a:srgbClr val="757575"/>
              </a:solidFill>
              <a:latin typeface="+mn-lt"/>
            </a:endParaRPr>
          </a:p>
        </c:rich>
      </c:tx>
      <c:layout/>
      <c:overlay val="0"/>
    </c:title>
    <c:autoTitleDeleted val="0"/>
    <c:plotArea>
      <c:layout/>
      <c:barChart>
        <c:barDir val="col"/>
        <c:grouping val="none"/>
        <c:varyColors val="0"/>
        <c:ser>
          <c:idx val="0"/>
          <c:order val="0"/>
          <c:invertIfNegative val="0"/>
          <c:dLbls>
            <c:delete val="1"/>
          </c:dLbls>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0.00590172729846938</c:v>
                </c:pt>
                <c:pt idx="1">
                  <c:v>0.00110871733640838</c:v>
                </c:pt>
                <c:pt idx="2">
                  <c:v>0</c:v>
                </c:pt>
                <c:pt idx="3">
                  <c:v>0.0305366821894799</c:v>
                </c:pt>
                <c:pt idx="4">
                  <c:v>0.0273993454600805</c:v>
                </c:pt>
                <c:pt idx="5">
                  <c:v>0.0150387247161439</c:v>
                </c:pt>
                <c:pt idx="6">
                  <c:v>0</c:v>
                </c:pt>
                <c:pt idx="7">
                  <c:v>0.0128757296997164</c:v>
                </c:pt>
                <c:pt idx="8">
                  <c:v>0</c:v>
                </c:pt>
                <c:pt idx="9">
                  <c:v>0.00265165301226311</c:v>
                </c:pt>
                <c:pt idx="10">
                  <c:v>0.00387823170482293</c:v>
                </c:pt>
                <c:pt idx="11">
                  <c:v>0.00269633877305431</c:v>
                </c:pt>
              </c:numCache>
            </c:numRef>
          </c:val>
        </c:ser>
        <c:dLbls>
          <c:showLegendKey val="0"/>
          <c:showVal val="0"/>
          <c:showCatName val="0"/>
          <c:showSerName val="0"/>
          <c:showPercent val="0"/>
          <c:showBubbleSize val="0"/>
        </c:dLbls>
        <c:gapWidth val="150"/>
        <c:axId val="329375136"/>
        <c:axId val="103650199"/>
      </c:barChart>
      <c:catAx>
        <c:axId val="329375136"/>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03650199"/>
        <c:crosses val="autoZero"/>
        <c:auto val="1"/>
        <c:lblAlgn val="ctr"/>
        <c:lblOffset val="100"/>
        <c:noMultiLvlLbl val="0"/>
      </c:catAx>
      <c:valAx>
        <c:axId val="103650199"/>
        <c:scaling>
          <c:orientation val="minMax"/>
        </c:scaling>
        <c:delete val="0"/>
        <c:axPos val="l"/>
        <c:majorTickMark val="out"/>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329375136"/>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0d2b6b9b-4dfb-41c5-9553-0917f8330751}"/>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10</xdr:col>
      <xdr:colOff>0</xdr:colOff>
      <xdr:row>0</xdr:row>
      <xdr:rowOff>180975</xdr:rowOff>
    </xdr:from>
    <xdr:ext cx="6743700" cy="4171950"/>
    <xdr:graphicFrame>
      <xdr:nvGraphicFramePr>
        <xdr:cNvPr id="2" name="Chart 1" title="Chart"/>
        <xdr:cNvGraphicFramePr/>
      </xdr:nvGraphicFramePr>
      <xdr:xfrm>
        <a:off x="9375140" y="180975"/>
        <a:ext cx="6743700" cy="41719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657225</xdr:colOff>
      <xdr:row>2</xdr:row>
      <xdr:rowOff>171450</xdr:rowOff>
    </xdr:from>
    <xdr:ext cx="6743700" cy="4171950"/>
    <xdr:graphicFrame>
      <xdr:nvGraphicFramePr>
        <xdr:cNvPr id="2" name="Chart 2" title="Chart"/>
        <xdr:cNvGraphicFramePr/>
      </xdr:nvGraphicFramePr>
      <xdr:xfrm>
        <a:off x="657225" y="571500"/>
        <a:ext cx="6743700" cy="41719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561975</xdr:colOff>
      <xdr:row>9</xdr:row>
      <xdr:rowOff>47625</xdr:rowOff>
    </xdr:from>
    <xdr:ext cx="3371850" cy="847725"/>
    <xdr:sp>
      <xdr:nvSpPr>
        <xdr:cNvPr id="4" name="Shape 4"/>
        <xdr:cNvSpPr txBox="1"/>
      </xdr:nvSpPr>
      <xdr:spPr>
        <a:xfrm>
          <a:off x="3257550" y="1847850"/>
          <a:ext cx="3371850" cy="84772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“hours” of use changes by x%</a:t>
          </a:r>
          <a:endParaRPr sz="1400"/>
        </a:p>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51"/>
  <sheetViews>
    <sheetView tabSelected="1" zoomScale="78" zoomScaleNormal="78" workbookViewId="0">
      <selection activeCell="K38" sqref="K38"/>
    </sheetView>
  </sheetViews>
  <sheetFormatPr defaultColWidth="12.6339285714286" defaultRowHeight="15.75" customHeight="1"/>
  <cols>
    <col min="1" max="1" width="18" customWidth="1"/>
    <col min="5" max="5" width="12.75" customWidth="1"/>
  </cols>
  <sheetData>
    <row r="1" ht="20" customHeight="1" spans="1:9">
      <c r="A1" s="6" t="s">
        <v>0</v>
      </c>
      <c r="B1" s="7"/>
      <c r="C1" s="7"/>
      <c r="D1" s="7"/>
      <c r="E1" s="7"/>
      <c r="F1" s="7"/>
      <c r="G1" s="7"/>
      <c r="H1" s="7"/>
      <c r="I1" s="7"/>
    </row>
    <row r="2" customHeight="1" spans="1:9">
      <c r="A2" s="8"/>
      <c r="B2" s="9"/>
      <c r="C2" s="9"/>
      <c r="D2" s="9"/>
      <c r="E2" s="9"/>
      <c r="F2" s="9"/>
      <c r="G2" s="9"/>
      <c r="H2" s="9"/>
      <c r="I2" s="23"/>
    </row>
    <row r="3" customHeight="1" spans="1:9">
      <c r="A3" s="10" t="s">
        <v>1</v>
      </c>
      <c r="E3" s="20" t="s">
        <v>2</v>
      </c>
      <c r="I3" s="24"/>
    </row>
    <row r="4" customHeight="1" spans="1:9">
      <c r="A4" s="11"/>
      <c r="B4" s="12" t="s">
        <v>3</v>
      </c>
      <c r="I4" s="24"/>
    </row>
    <row r="5" customHeight="1" spans="1:9">
      <c r="A5" s="11"/>
      <c r="E5" s="1" t="s">
        <v>4</v>
      </c>
      <c r="F5" s="1" t="s">
        <v>5</v>
      </c>
      <c r="G5" s="1" t="s">
        <v>6</v>
      </c>
      <c r="I5" s="24"/>
    </row>
    <row r="6" customHeight="1" spans="1:9">
      <c r="A6" s="10" t="s">
        <v>7</v>
      </c>
      <c r="I6" s="24"/>
    </row>
    <row r="7" customHeight="1" spans="1:9">
      <c r="A7" s="13" t="s">
        <v>8</v>
      </c>
      <c r="B7" s="14">
        <v>99</v>
      </c>
      <c r="C7" s="1" t="s">
        <v>9</v>
      </c>
      <c r="E7" s="17">
        <v>0</v>
      </c>
      <c r="F7" s="22">
        <v>0.05</v>
      </c>
      <c r="G7" s="17">
        <v>0.7</v>
      </c>
      <c r="I7" s="24"/>
    </row>
    <row r="8" customHeight="1" spans="1:9">
      <c r="A8" s="13" t="s">
        <v>10</v>
      </c>
      <c r="B8" s="15">
        <v>13</v>
      </c>
      <c r="C8" s="1" t="s">
        <v>9</v>
      </c>
      <c r="E8" s="17">
        <v>0</v>
      </c>
      <c r="F8" s="22">
        <v>0.45</v>
      </c>
      <c r="G8" s="17">
        <v>0.25</v>
      </c>
      <c r="I8" s="24"/>
    </row>
    <row r="9" customHeight="1" spans="1:9">
      <c r="A9" s="13" t="s">
        <v>11</v>
      </c>
      <c r="B9" s="15">
        <v>0</v>
      </c>
      <c r="C9" s="1" t="s">
        <v>9</v>
      </c>
      <c r="E9" s="17">
        <v>1</v>
      </c>
      <c r="F9" s="17">
        <v>0.5</v>
      </c>
      <c r="G9" s="17">
        <v>0.05</v>
      </c>
      <c r="I9" s="24"/>
    </row>
    <row r="10" customHeight="1" spans="1:9">
      <c r="A10" s="11"/>
      <c r="I10" s="24"/>
    </row>
    <row r="11" customHeight="1" spans="1:9">
      <c r="A11" s="10" t="s">
        <v>12</v>
      </c>
      <c r="I11" s="24"/>
    </row>
    <row r="12" customHeight="1" spans="1:9">
      <c r="A12" s="13" t="s">
        <v>13</v>
      </c>
      <c r="B12" s="15">
        <v>800</v>
      </c>
      <c r="C12" s="1" t="s">
        <v>9</v>
      </c>
      <c r="E12" s="17">
        <v>0</v>
      </c>
      <c r="F12" s="17">
        <v>0.05</v>
      </c>
      <c r="G12" s="17">
        <v>0.4</v>
      </c>
      <c r="I12" s="24"/>
    </row>
    <row r="13" customHeight="1" spans="1:9">
      <c r="A13" s="11"/>
      <c r="B13" s="3"/>
      <c r="I13" s="24"/>
    </row>
    <row r="14" customHeight="1" spans="1:9">
      <c r="A14" s="11"/>
      <c r="B14" s="3"/>
      <c r="I14" s="24"/>
    </row>
    <row r="15" customHeight="1" spans="1:9">
      <c r="A15" s="10" t="s">
        <v>14</v>
      </c>
      <c r="B15" s="3"/>
      <c r="I15" s="24"/>
    </row>
    <row r="16" customHeight="1" spans="1:9">
      <c r="A16" s="13" t="s">
        <v>13</v>
      </c>
      <c r="B16" s="15">
        <v>1200</v>
      </c>
      <c r="C16" s="1" t="s">
        <v>9</v>
      </c>
      <c r="E16" s="17">
        <v>0</v>
      </c>
      <c r="F16" s="17">
        <v>0</v>
      </c>
      <c r="G16" s="17">
        <v>0.3</v>
      </c>
      <c r="I16" s="24"/>
    </row>
    <row r="17" customHeight="1" spans="1:9">
      <c r="A17" s="13" t="s">
        <v>10</v>
      </c>
      <c r="B17" s="15">
        <v>500</v>
      </c>
      <c r="C17" s="1" t="s">
        <v>9</v>
      </c>
      <c r="E17" s="17">
        <v>0</v>
      </c>
      <c r="F17" s="17">
        <v>0</v>
      </c>
      <c r="G17" s="17">
        <v>0.4</v>
      </c>
      <c r="I17" s="24"/>
    </row>
    <row r="18" customHeight="1" spans="1:9">
      <c r="A18" s="13" t="s">
        <v>15</v>
      </c>
      <c r="B18" s="15">
        <v>0</v>
      </c>
      <c r="C18" s="1" t="s">
        <v>9</v>
      </c>
      <c r="E18" s="17">
        <v>1</v>
      </c>
      <c r="F18" s="17">
        <v>1</v>
      </c>
      <c r="G18" s="17">
        <v>0.3</v>
      </c>
      <c r="I18" s="24"/>
    </row>
    <row r="19" customHeight="1" spans="1:9">
      <c r="A19" s="11"/>
      <c r="B19" s="3"/>
      <c r="I19" s="24"/>
    </row>
    <row r="20" customHeight="1" spans="1:9">
      <c r="A20" s="10" t="s">
        <v>16</v>
      </c>
      <c r="B20" s="3"/>
      <c r="I20" s="24"/>
    </row>
    <row r="21" customHeight="1" spans="1:9">
      <c r="A21" s="13" t="s">
        <v>13</v>
      </c>
      <c r="B21" s="15">
        <v>66</v>
      </c>
      <c r="C21" s="1" t="s">
        <v>9</v>
      </c>
      <c r="E21" s="17">
        <v>0</v>
      </c>
      <c r="F21" s="17">
        <v>0.8</v>
      </c>
      <c r="G21" s="17">
        <v>1</v>
      </c>
      <c r="I21" s="24"/>
    </row>
    <row r="22" customHeight="1" spans="1:9">
      <c r="A22" s="13" t="s">
        <v>17</v>
      </c>
      <c r="B22" s="15">
        <v>0</v>
      </c>
      <c r="C22" s="1" t="s">
        <v>9</v>
      </c>
      <c r="E22" s="17">
        <v>1</v>
      </c>
      <c r="F22" s="17">
        <v>0.2</v>
      </c>
      <c r="G22" s="17">
        <v>0</v>
      </c>
      <c r="I22" s="24"/>
    </row>
    <row r="23" customHeight="1" spans="1:9">
      <c r="A23" s="11"/>
      <c r="I23" s="24"/>
    </row>
    <row r="24" customHeight="1" spans="1:17">
      <c r="A24" s="10" t="s">
        <v>18</v>
      </c>
      <c r="I24" s="24"/>
      <c r="K24" s="8"/>
      <c r="L24" s="9"/>
      <c r="M24" s="9"/>
      <c r="N24" s="9"/>
      <c r="O24" s="9"/>
      <c r="P24" s="9"/>
      <c r="Q24" s="23"/>
    </row>
    <row r="25" customHeight="1" spans="1:17">
      <c r="A25" s="13" t="s">
        <v>19</v>
      </c>
      <c r="B25" s="16">
        <v>1000000</v>
      </c>
      <c r="C25" s="1" t="s">
        <v>20</v>
      </c>
      <c r="E25" s="17">
        <v>0</v>
      </c>
      <c r="F25" s="17">
        <v>0</v>
      </c>
      <c r="G25" s="17">
        <v>0</v>
      </c>
      <c r="I25" s="24"/>
      <c r="K25" s="11"/>
      <c r="L25" s="25" t="s">
        <v>21</v>
      </c>
      <c r="M25" s="26"/>
      <c r="N25" s="26"/>
      <c r="O25" s="25" t="s">
        <v>22</v>
      </c>
      <c r="P25" s="26"/>
      <c r="Q25" s="24"/>
    </row>
    <row r="26" customHeight="1" spans="1:17">
      <c r="A26" s="13" t="s">
        <v>23</v>
      </c>
      <c r="B26" s="15">
        <v>17</v>
      </c>
      <c r="C26" s="1" t="s">
        <v>9</v>
      </c>
      <c r="E26" s="17">
        <v>0</v>
      </c>
      <c r="F26" s="17">
        <v>0.85</v>
      </c>
      <c r="G26" s="17">
        <v>0.4</v>
      </c>
      <c r="I26" s="24"/>
      <c r="K26" s="11"/>
      <c r="L26" s="26" t="str">
        <f>E5</f>
        <v>"off"</v>
      </c>
      <c r="M26" s="26">
        <v>0.162</v>
      </c>
      <c r="N26" s="25" t="s">
        <v>9</v>
      </c>
      <c r="O26" s="29">
        <f>$M$31/M26</f>
        <v>71358.024691358</v>
      </c>
      <c r="P26" s="25" t="s">
        <v>24</v>
      </c>
      <c r="Q26" s="24"/>
    </row>
    <row r="27" customHeight="1" spans="1:17">
      <c r="A27" s="13" t="s">
        <v>25</v>
      </c>
      <c r="B27" s="15">
        <v>149</v>
      </c>
      <c r="C27" s="1" t="s">
        <v>9</v>
      </c>
      <c r="E27" s="17">
        <v>0</v>
      </c>
      <c r="F27" s="17">
        <v>0.05</v>
      </c>
      <c r="G27" s="17">
        <v>0.25</v>
      </c>
      <c r="I27" s="24"/>
      <c r="K27" s="11"/>
      <c r="L27" s="26" t="str">
        <f>F5</f>
        <v>"sensing"</v>
      </c>
      <c r="M27" s="26">
        <f>SUMPRODUCT(B7:B28,F7:F28)</f>
        <v>132.1</v>
      </c>
      <c r="N27" s="25" t="s">
        <v>9</v>
      </c>
      <c r="O27" s="29">
        <f>$M$31/M27</f>
        <v>87.5094625283876</v>
      </c>
      <c r="P27" s="25" t="s">
        <v>24</v>
      </c>
      <c r="Q27" s="24"/>
    </row>
    <row r="28" customHeight="1" spans="1:17">
      <c r="A28" s="13" t="s">
        <v>26</v>
      </c>
      <c r="B28" s="15">
        <v>66</v>
      </c>
      <c r="C28" s="1" t="s">
        <v>9</v>
      </c>
      <c r="E28" s="17">
        <v>0</v>
      </c>
      <c r="F28" s="17">
        <v>0.1</v>
      </c>
      <c r="G28" s="17">
        <v>0.35</v>
      </c>
      <c r="I28" s="24"/>
      <c r="K28" s="11"/>
      <c r="L28" s="26" t="str">
        <f>G5</f>
        <v>"interactive"</v>
      </c>
      <c r="M28" s="26">
        <f>SUMPRODUCT(B7:B28,G7:G28)</f>
        <v>1085.7</v>
      </c>
      <c r="N28" s="25" t="s">
        <v>9</v>
      </c>
      <c r="O28" s="29">
        <f t="shared" ref="O26:O28" si="0">$M$31/M28</f>
        <v>10.6475085198489</v>
      </c>
      <c r="P28" s="25" t="s">
        <v>24</v>
      </c>
      <c r="Q28" s="24"/>
    </row>
    <row r="29" customHeight="1" spans="1:17">
      <c r="A29" s="11"/>
      <c r="I29" s="24"/>
      <c r="K29" s="11"/>
      <c r="Q29" s="24"/>
    </row>
    <row r="30" customHeight="1" spans="1:17">
      <c r="A30" s="10"/>
      <c r="E30" s="16">
        <v>12</v>
      </c>
      <c r="F30" s="16">
        <v>8</v>
      </c>
      <c r="G30" s="16">
        <v>4</v>
      </c>
      <c r="H30" s="1" t="s">
        <v>27</v>
      </c>
      <c r="I30" s="24"/>
      <c r="K30" s="11"/>
      <c r="L30" s="1" t="s">
        <v>28</v>
      </c>
      <c r="Q30" s="24"/>
    </row>
    <row r="31" customHeight="1" spans="1:17">
      <c r="A31" s="10" t="s">
        <v>29</v>
      </c>
      <c r="I31" s="24"/>
      <c r="K31" s="11"/>
      <c r="M31" s="2">
        <f>B32*B33*B34</f>
        <v>11560</v>
      </c>
      <c r="N31" s="1" t="s">
        <v>30</v>
      </c>
      <c r="Q31" s="24"/>
    </row>
    <row r="32" customHeight="1" spans="1:17">
      <c r="A32" s="13" t="s">
        <v>31</v>
      </c>
      <c r="B32" s="15">
        <v>3400</v>
      </c>
      <c r="C32" s="1" t="s">
        <v>32</v>
      </c>
      <c r="I32" s="24"/>
      <c r="K32" s="11"/>
      <c r="Q32" s="24"/>
    </row>
    <row r="33" customHeight="1" spans="1:17">
      <c r="A33" s="13" t="s">
        <v>33</v>
      </c>
      <c r="B33" s="15">
        <v>4</v>
      </c>
      <c r="C33" s="1" t="s">
        <v>34</v>
      </c>
      <c r="I33" s="24"/>
      <c r="K33" s="11"/>
      <c r="L33" s="27" t="s">
        <v>35</v>
      </c>
      <c r="M33" s="30">
        <f>M31/(E30*M26+F30*M27+G30*M28)</f>
        <v>2.14012882242559</v>
      </c>
      <c r="N33" s="27" t="s">
        <v>36</v>
      </c>
      <c r="Q33" s="24"/>
    </row>
    <row r="34" customHeight="1" spans="1:17">
      <c r="A34" s="13" t="s">
        <v>37</v>
      </c>
      <c r="B34" s="17">
        <v>0.85</v>
      </c>
      <c r="I34" s="24"/>
      <c r="K34" s="11"/>
      <c r="L34" s="27" t="s">
        <v>38</v>
      </c>
      <c r="M34" s="30">
        <f>M33*24</f>
        <v>51.3630917382141</v>
      </c>
      <c r="N34" s="27" t="s">
        <v>24</v>
      </c>
      <c r="Q34" s="24"/>
    </row>
    <row r="35" customHeight="1" spans="1:17">
      <c r="A35" s="18"/>
      <c r="B35" s="19"/>
      <c r="C35" s="19"/>
      <c r="D35" s="19"/>
      <c r="E35" s="19"/>
      <c r="F35" s="19"/>
      <c r="G35" s="19"/>
      <c r="H35" s="19"/>
      <c r="I35" s="28"/>
      <c r="K35" s="18"/>
      <c r="L35" s="19"/>
      <c r="M35" s="19"/>
      <c r="N35" s="19"/>
      <c r="O35" s="19"/>
      <c r="P35" s="19"/>
      <c r="Q35" s="28"/>
    </row>
    <row r="38" customHeight="1" spans="1:1">
      <c r="A38" s="20" t="s">
        <v>39</v>
      </c>
    </row>
    <row r="39" customHeight="1" spans="1:9">
      <c r="A39" s="21" t="s">
        <v>40</v>
      </c>
      <c r="B39" s="21"/>
      <c r="C39" s="21"/>
      <c r="D39" s="21"/>
      <c r="E39" s="21"/>
      <c r="F39" s="21"/>
      <c r="G39" s="21"/>
      <c r="H39" s="21"/>
      <c r="I39" s="21"/>
    </row>
    <row r="40" customHeight="1" spans="1:9">
      <c r="A40" s="21"/>
      <c r="B40" s="21"/>
      <c r="C40" s="21"/>
      <c r="D40" s="21"/>
      <c r="E40" s="21"/>
      <c r="F40" s="21"/>
      <c r="G40" s="21"/>
      <c r="H40" s="21"/>
      <c r="I40" s="21"/>
    </row>
    <row r="41" customHeight="1" spans="1:9">
      <c r="A41" s="21"/>
      <c r="B41" s="21"/>
      <c r="C41" s="21"/>
      <c r="D41" s="21"/>
      <c r="E41" s="21"/>
      <c r="F41" s="21"/>
      <c r="G41" s="21"/>
      <c r="H41" s="21"/>
      <c r="I41" s="21"/>
    </row>
    <row r="42" customHeight="1" spans="1:9">
      <c r="A42" s="21"/>
      <c r="B42" s="21"/>
      <c r="C42" s="21"/>
      <c r="D42" s="21"/>
      <c r="E42" s="21"/>
      <c r="F42" s="21"/>
      <c r="G42" s="21"/>
      <c r="H42" s="21"/>
      <c r="I42" s="21"/>
    </row>
    <row r="43" customHeight="1" spans="1:9">
      <c r="A43" s="21"/>
      <c r="B43" s="21"/>
      <c r="C43" s="21"/>
      <c r="D43" s="21"/>
      <c r="E43" s="21"/>
      <c r="F43" s="21"/>
      <c r="G43" s="21"/>
      <c r="H43" s="21"/>
      <c r="I43" s="21"/>
    </row>
    <row r="44" customHeight="1" spans="1:9">
      <c r="A44" s="21"/>
      <c r="B44" s="21"/>
      <c r="C44" s="21"/>
      <c r="D44" s="21"/>
      <c r="E44" s="21"/>
      <c r="F44" s="21"/>
      <c r="G44" s="21"/>
      <c r="H44" s="21"/>
      <c r="I44" s="21"/>
    </row>
    <row r="45" customHeight="1" spans="1:9">
      <c r="A45" s="21"/>
      <c r="B45" s="21"/>
      <c r="C45" s="21"/>
      <c r="D45" s="21"/>
      <c r="E45" s="21"/>
      <c r="F45" s="21"/>
      <c r="G45" s="21"/>
      <c r="H45" s="21"/>
      <c r="I45" s="21"/>
    </row>
    <row r="46" customHeight="1" spans="1:9">
      <c r="A46" s="21"/>
      <c r="B46" s="21"/>
      <c r="C46" s="21"/>
      <c r="D46" s="21"/>
      <c r="E46" s="21"/>
      <c r="F46" s="21"/>
      <c r="G46" s="21"/>
      <c r="H46" s="21"/>
      <c r="I46" s="21"/>
    </row>
    <row r="47" customHeight="1" spans="1:9">
      <c r="A47" s="21"/>
      <c r="B47" s="21"/>
      <c r="C47" s="21"/>
      <c r="D47" s="21"/>
      <c r="E47" s="21"/>
      <c r="F47" s="21"/>
      <c r="G47" s="21"/>
      <c r="H47" s="21"/>
      <c r="I47" s="21"/>
    </row>
    <row r="48" customHeight="1" spans="1:9">
      <c r="A48" s="21"/>
      <c r="B48" s="21"/>
      <c r="C48" s="21"/>
      <c r="D48" s="21"/>
      <c r="E48" s="21"/>
      <c r="F48" s="21"/>
      <c r="G48" s="21"/>
      <c r="H48" s="21"/>
      <c r="I48" s="21"/>
    </row>
    <row r="49" customHeight="1" spans="1:9">
      <c r="A49" s="21"/>
      <c r="B49" s="21"/>
      <c r="C49" s="21"/>
      <c r="D49" s="21"/>
      <c r="E49" s="21"/>
      <c r="F49" s="21"/>
      <c r="G49" s="21"/>
      <c r="H49" s="21"/>
      <c r="I49" s="21"/>
    </row>
    <row r="50" customHeight="1" spans="1:9">
      <c r="A50" s="21"/>
      <c r="B50" s="21"/>
      <c r="C50" s="21"/>
      <c r="D50" s="21"/>
      <c r="E50" s="21"/>
      <c r="F50" s="21"/>
      <c r="G50" s="21"/>
      <c r="H50" s="21"/>
      <c r="I50" s="21"/>
    </row>
    <row r="51" customHeight="1" spans="1:9">
      <c r="A51" s="21"/>
      <c r="B51" s="21"/>
      <c r="C51" s="21"/>
      <c r="D51" s="21"/>
      <c r="E51" s="21"/>
      <c r="F51" s="21"/>
      <c r="G51" s="21"/>
      <c r="H51" s="21"/>
      <c r="I51" s="21"/>
    </row>
  </sheetData>
  <mergeCells count="2">
    <mergeCell ref="A1:I1"/>
    <mergeCell ref="A39:I51"/>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50:W118"/>
  <sheetViews>
    <sheetView workbookViewId="0">
      <selection activeCell="A1" sqref="A1"/>
    </sheetView>
  </sheetViews>
  <sheetFormatPr defaultColWidth="12.6339285714286" defaultRowHeight="15.75" customHeight="1"/>
  <sheetData>
    <row r="50" customHeight="1" spans="1:1">
      <c r="A50" s="1" t="s">
        <v>41</v>
      </c>
    </row>
    <row r="52" customHeight="1" spans="1:23">
      <c r="A52" s="2" t="str">
        <f>'System Parameters'!A3</f>
        <v>System Parameters (defined by hardware)</v>
      </c>
      <c r="B52" s="2">
        <f>'System Parameters'!B3</f>
        <v>0</v>
      </c>
      <c r="C52" s="2">
        <f>'System Parameters'!C3</f>
        <v>0</v>
      </c>
      <c r="D52" s="2">
        <f>'System Parameters'!D3</f>
        <v>0</v>
      </c>
      <c r="T52" s="2" t="str">
        <f>'System Parameters'!E3</f>
        <v>Profiles (usage of each component mode - defined by software and usage)</v>
      </c>
      <c r="U52" s="2">
        <f>'System Parameters'!F3</f>
        <v>0</v>
      </c>
      <c r="V52" s="2">
        <f>'System Parameters'!G3</f>
        <v>0</v>
      </c>
      <c r="W52" s="2">
        <f>'System Parameters'!H3</f>
        <v>0</v>
      </c>
    </row>
    <row r="53" customHeight="1" spans="1:23">
      <c r="A53" s="2">
        <f>'System Parameters'!A4</f>
        <v>0</v>
      </c>
      <c r="B53" s="2" t="str">
        <f>'System Parameters'!B4</f>
        <v>form the datasheets</v>
      </c>
      <c r="C53" s="2">
        <f>'System Parameters'!C4</f>
        <v>0</v>
      </c>
      <c r="D53" s="2">
        <f>'System Parameters'!D4</f>
        <v>0</v>
      </c>
      <c r="T53" s="2">
        <f>'System Parameters'!E4</f>
        <v>0</v>
      </c>
      <c r="U53" s="2">
        <f>'System Parameters'!F4</f>
        <v>0</v>
      </c>
      <c r="V53" s="2">
        <f>'System Parameters'!G4</f>
        <v>0</v>
      </c>
      <c r="W53" s="2">
        <f>'System Parameters'!H4</f>
        <v>0</v>
      </c>
    </row>
    <row r="54" customHeight="1" spans="1:23">
      <c r="A54" s="2">
        <f>'System Parameters'!A5</f>
        <v>0</v>
      </c>
      <c r="B54" s="2">
        <f>'System Parameters'!B5</f>
        <v>0</v>
      </c>
      <c r="C54" s="2">
        <f>'System Parameters'!C5</f>
        <v>0</v>
      </c>
      <c r="D54" s="2">
        <f>'System Parameters'!D5</f>
        <v>0</v>
      </c>
      <c r="T54" s="2" t="str">
        <f>'System Parameters'!E5</f>
        <v>"off"</v>
      </c>
      <c r="U54" s="2" t="str">
        <f>'System Parameters'!F5</f>
        <v>"sensing"</v>
      </c>
      <c r="V54" s="2" t="str">
        <f>'System Parameters'!G5</f>
        <v>"interactive"</v>
      </c>
      <c r="W54" s="2">
        <f>'System Parameters'!H5</f>
        <v>0</v>
      </c>
    </row>
    <row r="55" customHeight="1" spans="1:23">
      <c r="A55" s="2" t="str">
        <f>'System Parameters'!A6</f>
        <v>Processor</v>
      </c>
      <c r="B55" s="2">
        <f>'System Parameters'!B6</f>
        <v>0</v>
      </c>
      <c r="C55" s="2">
        <f>'System Parameters'!C6</f>
        <v>0</v>
      </c>
      <c r="D55" s="2">
        <f>'System Parameters'!D6</f>
        <v>0</v>
      </c>
      <c r="T55" s="2">
        <f>'System Parameters'!E6</f>
        <v>0</v>
      </c>
      <c r="U55" s="2">
        <f>'System Parameters'!F6</f>
        <v>0</v>
      </c>
      <c r="V55" s="2">
        <f>'System Parameters'!G6</f>
        <v>0</v>
      </c>
      <c r="W55" s="2">
        <f>'System Parameters'!H6</f>
        <v>0</v>
      </c>
    </row>
    <row r="56" customHeight="1" spans="1:23">
      <c r="A56" s="2" t="str">
        <f>'System Parameters'!A7</f>
        <v>Active</v>
      </c>
      <c r="B56" s="3">
        <f>'System Parameters'!B7</f>
        <v>99</v>
      </c>
      <c r="C56" s="2" t="str">
        <f>'System Parameters'!C7</f>
        <v>mW</v>
      </c>
      <c r="D56" s="2">
        <f>$B56*0.9</f>
        <v>89.1</v>
      </c>
      <c r="E56" s="3">
        <f t="shared" ref="E56:O56" si="0">$B56</f>
        <v>99</v>
      </c>
      <c r="F56" s="3">
        <f t="shared" si="0"/>
        <v>99</v>
      </c>
      <c r="G56" s="3">
        <f t="shared" si="0"/>
        <v>99</v>
      </c>
      <c r="H56" s="3">
        <f t="shared" si="0"/>
        <v>99</v>
      </c>
      <c r="I56" s="3">
        <f t="shared" si="0"/>
        <v>99</v>
      </c>
      <c r="J56" s="3">
        <f t="shared" si="0"/>
        <v>99</v>
      </c>
      <c r="K56" s="3">
        <f t="shared" si="0"/>
        <v>99</v>
      </c>
      <c r="L56" s="3">
        <f t="shared" si="0"/>
        <v>99</v>
      </c>
      <c r="M56" s="3">
        <f t="shared" si="0"/>
        <v>99</v>
      </c>
      <c r="N56" s="3">
        <f t="shared" si="0"/>
        <v>99</v>
      </c>
      <c r="O56" s="3">
        <f t="shared" si="0"/>
        <v>99</v>
      </c>
      <c r="T56" s="4">
        <f>'System Parameters'!E7</f>
        <v>0</v>
      </c>
      <c r="U56" s="4">
        <f>'System Parameters'!F7</f>
        <v>0.05</v>
      </c>
      <c r="V56" s="4">
        <f>'System Parameters'!G7</f>
        <v>0.7</v>
      </c>
      <c r="W56" s="2">
        <f>'System Parameters'!H7</f>
        <v>0</v>
      </c>
    </row>
    <row r="57" customHeight="1" spans="1:23">
      <c r="A57" s="2" t="str">
        <f>'System Parameters'!A8</f>
        <v>Idle</v>
      </c>
      <c r="B57" s="3">
        <f>'System Parameters'!B8</f>
        <v>13</v>
      </c>
      <c r="C57" s="2" t="str">
        <f>'System Parameters'!C8</f>
        <v>mW</v>
      </c>
      <c r="D57" s="3">
        <f t="shared" ref="D57:D76" si="1">$B57</f>
        <v>13</v>
      </c>
      <c r="E57" s="2">
        <f>$B57*0.9</f>
        <v>11.7</v>
      </c>
      <c r="F57" s="3">
        <f t="shared" ref="F57:O57" si="2">$B57</f>
        <v>13</v>
      </c>
      <c r="G57" s="3">
        <f t="shared" si="2"/>
        <v>13</v>
      </c>
      <c r="H57" s="3">
        <f t="shared" si="2"/>
        <v>13</v>
      </c>
      <c r="I57" s="3">
        <f t="shared" si="2"/>
        <v>13</v>
      </c>
      <c r="J57" s="3">
        <f t="shared" si="2"/>
        <v>13</v>
      </c>
      <c r="K57" s="3">
        <f t="shared" si="2"/>
        <v>13</v>
      </c>
      <c r="L57" s="3">
        <f t="shared" si="2"/>
        <v>13</v>
      </c>
      <c r="M57" s="3">
        <f t="shared" si="2"/>
        <v>13</v>
      </c>
      <c r="N57" s="3">
        <f t="shared" si="2"/>
        <v>13</v>
      </c>
      <c r="O57" s="3">
        <f t="shared" si="2"/>
        <v>13</v>
      </c>
      <c r="T57" s="4">
        <f>'System Parameters'!E8</f>
        <v>0</v>
      </c>
      <c r="U57" s="4">
        <f>'System Parameters'!F8</f>
        <v>0.45</v>
      </c>
      <c r="V57" s="4">
        <f>'System Parameters'!G8</f>
        <v>0.25</v>
      </c>
      <c r="W57" s="2">
        <f>'System Parameters'!H8</f>
        <v>0</v>
      </c>
    </row>
    <row r="58" customHeight="1" spans="1:23">
      <c r="A58" s="2" t="str">
        <f>'System Parameters'!A9</f>
        <v>Sleep</v>
      </c>
      <c r="B58" s="3">
        <f>'System Parameters'!B9</f>
        <v>0</v>
      </c>
      <c r="C58" s="2" t="str">
        <f>'System Parameters'!C9</f>
        <v>mW</v>
      </c>
      <c r="D58" s="3">
        <f t="shared" si="1"/>
        <v>0</v>
      </c>
      <c r="E58" s="3">
        <f t="shared" ref="E58:E76" si="3">$B58</f>
        <v>0</v>
      </c>
      <c r="F58" s="2">
        <f>$B58*0.9</f>
        <v>0</v>
      </c>
      <c r="G58" s="3">
        <f t="shared" ref="G58:O58" si="4">$B58</f>
        <v>0</v>
      </c>
      <c r="H58" s="3">
        <f t="shared" si="4"/>
        <v>0</v>
      </c>
      <c r="I58" s="3">
        <f t="shared" si="4"/>
        <v>0</v>
      </c>
      <c r="J58" s="3">
        <f t="shared" si="4"/>
        <v>0</v>
      </c>
      <c r="K58" s="3">
        <f t="shared" si="4"/>
        <v>0</v>
      </c>
      <c r="L58" s="3">
        <f t="shared" si="4"/>
        <v>0</v>
      </c>
      <c r="M58" s="3">
        <f t="shared" si="4"/>
        <v>0</v>
      </c>
      <c r="N58" s="3">
        <f t="shared" si="4"/>
        <v>0</v>
      </c>
      <c r="O58" s="3">
        <f t="shared" si="4"/>
        <v>0</v>
      </c>
      <c r="T58" s="4">
        <f>'System Parameters'!E9</f>
        <v>1</v>
      </c>
      <c r="U58" s="4">
        <f>'System Parameters'!F9</f>
        <v>0.5</v>
      </c>
      <c r="V58" s="4">
        <f>'System Parameters'!G9</f>
        <v>0.05</v>
      </c>
      <c r="W58" s="2">
        <f>'System Parameters'!H9</f>
        <v>0</v>
      </c>
    </row>
    <row r="59" customHeight="1" spans="1:23">
      <c r="A59" s="2">
        <f>'System Parameters'!A10</f>
        <v>0</v>
      </c>
      <c r="B59" s="2">
        <f>'System Parameters'!B10</f>
        <v>0</v>
      </c>
      <c r="C59" s="2">
        <f>'System Parameters'!C10</f>
        <v>0</v>
      </c>
      <c r="D59" s="2">
        <f t="shared" si="1"/>
        <v>0</v>
      </c>
      <c r="E59" s="2">
        <f t="shared" si="3"/>
        <v>0</v>
      </c>
      <c r="F59" s="2">
        <f t="shared" ref="F59:O59" si="5">$B59</f>
        <v>0</v>
      </c>
      <c r="G59" s="2">
        <f t="shared" si="5"/>
        <v>0</v>
      </c>
      <c r="H59" s="2">
        <f t="shared" si="5"/>
        <v>0</v>
      </c>
      <c r="I59" s="2">
        <f t="shared" si="5"/>
        <v>0</v>
      </c>
      <c r="J59" s="2">
        <f t="shared" si="5"/>
        <v>0</v>
      </c>
      <c r="K59" s="2">
        <f t="shared" si="5"/>
        <v>0</v>
      </c>
      <c r="L59" s="2">
        <f t="shared" si="5"/>
        <v>0</v>
      </c>
      <c r="M59" s="2">
        <f t="shared" si="5"/>
        <v>0</v>
      </c>
      <c r="N59" s="2">
        <f t="shared" si="5"/>
        <v>0</v>
      </c>
      <c r="O59" s="2">
        <f t="shared" si="5"/>
        <v>0</v>
      </c>
      <c r="T59" s="2">
        <f>'System Parameters'!E10</f>
        <v>0</v>
      </c>
      <c r="U59" s="2">
        <f>'System Parameters'!F10</f>
        <v>0</v>
      </c>
      <c r="V59" s="2">
        <f>'System Parameters'!G10</f>
        <v>0</v>
      </c>
      <c r="W59" s="2">
        <f>'System Parameters'!H10</f>
        <v>0</v>
      </c>
    </row>
    <row r="60" customHeight="1" spans="1:23">
      <c r="A60" s="2" t="str">
        <f>'System Parameters'!A11</f>
        <v>LED</v>
      </c>
      <c r="B60" s="2">
        <f>'System Parameters'!B11</f>
        <v>0</v>
      </c>
      <c r="C60" s="2">
        <f>'System Parameters'!C11</f>
        <v>0</v>
      </c>
      <c r="D60" s="2">
        <f t="shared" si="1"/>
        <v>0</v>
      </c>
      <c r="E60" s="2">
        <f t="shared" si="3"/>
        <v>0</v>
      </c>
      <c r="F60" s="2">
        <f t="shared" ref="F60:O60" si="6">$B60</f>
        <v>0</v>
      </c>
      <c r="G60" s="2">
        <f t="shared" si="6"/>
        <v>0</v>
      </c>
      <c r="H60" s="2">
        <f t="shared" si="6"/>
        <v>0</v>
      </c>
      <c r="I60" s="2">
        <f t="shared" si="6"/>
        <v>0</v>
      </c>
      <c r="J60" s="2">
        <f t="shared" si="6"/>
        <v>0</v>
      </c>
      <c r="K60" s="2">
        <f t="shared" si="6"/>
        <v>0</v>
      </c>
      <c r="L60" s="2">
        <f t="shared" si="6"/>
        <v>0</v>
      </c>
      <c r="M60" s="2">
        <f t="shared" si="6"/>
        <v>0</v>
      </c>
      <c r="N60" s="2">
        <f t="shared" si="6"/>
        <v>0</v>
      </c>
      <c r="O60" s="2">
        <f t="shared" si="6"/>
        <v>0</v>
      </c>
      <c r="T60" s="2">
        <f>'System Parameters'!E11</f>
        <v>0</v>
      </c>
      <c r="U60" s="2">
        <f>'System Parameters'!F11</f>
        <v>0</v>
      </c>
      <c r="V60" s="2">
        <f>'System Parameters'!G11</f>
        <v>0</v>
      </c>
      <c r="W60" s="2">
        <f>'System Parameters'!H11</f>
        <v>0</v>
      </c>
    </row>
    <row r="61" customHeight="1" spans="1:23">
      <c r="A61" s="2" t="str">
        <f>'System Parameters'!A12</f>
        <v>On</v>
      </c>
      <c r="B61" s="3">
        <f>'System Parameters'!B12</f>
        <v>800</v>
      </c>
      <c r="C61" s="2" t="str">
        <f>'System Parameters'!C12</f>
        <v>mW</v>
      </c>
      <c r="D61" s="3">
        <f t="shared" si="1"/>
        <v>800</v>
      </c>
      <c r="E61" s="3">
        <f t="shared" si="3"/>
        <v>800</v>
      </c>
      <c r="F61" s="3">
        <f t="shared" ref="F61:F76" si="7">$B61</f>
        <v>800</v>
      </c>
      <c r="G61" s="2">
        <f>$B61*0.9</f>
        <v>720</v>
      </c>
      <c r="H61" s="3">
        <f t="shared" ref="H61:O61" si="8">$B61</f>
        <v>800</v>
      </c>
      <c r="I61" s="3">
        <f t="shared" si="8"/>
        <v>800</v>
      </c>
      <c r="J61" s="3">
        <f t="shared" si="8"/>
        <v>800</v>
      </c>
      <c r="K61" s="3">
        <f t="shared" si="8"/>
        <v>800</v>
      </c>
      <c r="L61" s="3">
        <f t="shared" si="8"/>
        <v>800</v>
      </c>
      <c r="M61" s="3">
        <f t="shared" si="8"/>
        <v>800</v>
      </c>
      <c r="N61" s="3">
        <f t="shared" si="8"/>
        <v>800</v>
      </c>
      <c r="O61" s="3">
        <f t="shared" si="8"/>
        <v>800</v>
      </c>
      <c r="T61" s="4">
        <f>'System Parameters'!E12</f>
        <v>0</v>
      </c>
      <c r="U61" s="4">
        <f>'System Parameters'!F12</f>
        <v>0.05</v>
      </c>
      <c r="V61" s="4">
        <f>'System Parameters'!G12</f>
        <v>0.4</v>
      </c>
      <c r="W61" s="2">
        <f>'System Parameters'!H12</f>
        <v>0</v>
      </c>
    </row>
    <row r="62" customHeight="1" spans="1:23">
      <c r="A62" s="2">
        <f>'System Parameters'!A13</f>
        <v>0</v>
      </c>
      <c r="B62" s="3">
        <f>'System Parameters'!B13</f>
        <v>0</v>
      </c>
      <c r="C62" s="2">
        <f>'System Parameters'!C13</f>
        <v>0</v>
      </c>
      <c r="D62" s="3">
        <f t="shared" si="1"/>
        <v>0</v>
      </c>
      <c r="E62" s="3">
        <f t="shared" si="3"/>
        <v>0</v>
      </c>
      <c r="F62" s="3">
        <f t="shared" si="7"/>
        <v>0</v>
      </c>
      <c r="G62" s="3">
        <f t="shared" ref="G62:O62" si="9">$B62</f>
        <v>0</v>
      </c>
      <c r="H62" s="3">
        <f t="shared" si="9"/>
        <v>0</v>
      </c>
      <c r="I62" s="3">
        <f t="shared" si="9"/>
        <v>0</v>
      </c>
      <c r="J62" s="3">
        <f t="shared" si="9"/>
        <v>0</v>
      </c>
      <c r="K62" s="3">
        <f t="shared" si="9"/>
        <v>0</v>
      </c>
      <c r="L62" s="3">
        <f t="shared" si="9"/>
        <v>0</v>
      </c>
      <c r="M62" s="3">
        <f t="shared" si="9"/>
        <v>0</v>
      </c>
      <c r="N62" s="3">
        <f t="shared" si="9"/>
        <v>0</v>
      </c>
      <c r="O62" s="3">
        <f t="shared" si="9"/>
        <v>0</v>
      </c>
      <c r="T62" s="2">
        <f>'System Parameters'!E13</f>
        <v>0</v>
      </c>
      <c r="U62" s="2">
        <f>'System Parameters'!F13</f>
        <v>0</v>
      </c>
      <c r="V62" s="2">
        <f>'System Parameters'!G13</f>
        <v>0</v>
      </c>
      <c r="W62" s="2">
        <f>'System Parameters'!H13</f>
        <v>0</v>
      </c>
    </row>
    <row r="63" customHeight="1" spans="1:23">
      <c r="A63" s="2">
        <f>'System Parameters'!A14</f>
        <v>0</v>
      </c>
      <c r="B63" s="3">
        <f>'System Parameters'!B14</f>
        <v>0</v>
      </c>
      <c r="C63" s="2">
        <f>'System Parameters'!C14</f>
        <v>0</v>
      </c>
      <c r="D63" s="3">
        <f t="shared" si="1"/>
        <v>0</v>
      </c>
      <c r="E63" s="3">
        <f t="shared" si="3"/>
        <v>0</v>
      </c>
      <c r="F63" s="3">
        <f t="shared" si="7"/>
        <v>0</v>
      </c>
      <c r="G63" s="3">
        <f t="shared" ref="G63:O63" si="10">$B63</f>
        <v>0</v>
      </c>
      <c r="H63" s="3">
        <f t="shared" si="10"/>
        <v>0</v>
      </c>
      <c r="I63" s="3">
        <f t="shared" si="10"/>
        <v>0</v>
      </c>
      <c r="J63" s="3">
        <f t="shared" si="10"/>
        <v>0</v>
      </c>
      <c r="K63" s="3">
        <f t="shared" si="10"/>
        <v>0</v>
      </c>
      <c r="L63" s="3">
        <f t="shared" si="10"/>
        <v>0</v>
      </c>
      <c r="M63" s="3">
        <f t="shared" si="10"/>
        <v>0</v>
      </c>
      <c r="N63" s="3">
        <f t="shared" si="10"/>
        <v>0</v>
      </c>
      <c r="O63" s="3">
        <f t="shared" si="10"/>
        <v>0</v>
      </c>
      <c r="T63" s="2">
        <f>'System Parameters'!E14</f>
        <v>0</v>
      </c>
      <c r="U63" s="2">
        <f>'System Parameters'!F14</f>
        <v>0</v>
      </c>
      <c r="V63" s="2">
        <f>'System Parameters'!G14</f>
        <v>0</v>
      </c>
      <c r="W63" s="2">
        <f>'System Parameters'!H14</f>
        <v>0</v>
      </c>
    </row>
    <row r="64" customHeight="1" spans="1:23">
      <c r="A64" s="2" t="str">
        <f>'System Parameters'!A15</f>
        <v>Sensor</v>
      </c>
      <c r="B64" s="3">
        <f>'System Parameters'!B15</f>
        <v>0</v>
      </c>
      <c r="C64" s="2">
        <f>'System Parameters'!C15</f>
        <v>0</v>
      </c>
      <c r="D64" s="3">
        <f t="shared" si="1"/>
        <v>0</v>
      </c>
      <c r="E64" s="3">
        <f t="shared" si="3"/>
        <v>0</v>
      </c>
      <c r="F64" s="3">
        <f t="shared" si="7"/>
        <v>0</v>
      </c>
      <c r="G64" s="3">
        <f t="shared" ref="G64:O64" si="11">$B64</f>
        <v>0</v>
      </c>
      <c r="H64" s="3">
        <f t="shared" si="11"/>
        <v>0</v>
      </c>
      <c r="I64" s="3">
        <f t="shared" si="11"/>
        <v>0</v>
      </c>
      <c r="J64" s="3">
        <f t="shared" si="11"/>
        <v>0</v>
      </c>
      <c r="K64" s="3">
        <f t="shared" si="11"/>
        <v>0</v>
      </c>
      <c r="L64" s="3">
        <f t="shared" si="11"/>
        <v>0</v>
      </c>
      <c r="M64" s="3">
        <f t="shared" si="11"/>
        <v>0</v>
      </c>
      <c r="N64" s="3">
        <f t="shared" si="11"/>
        <v>0</v>
      </c>
      <c r="O64" s="3">
        <f t="shared" si="11"/>
        <v>0</v>
      </c>
      <c r="T64" s="2">
        <f>'System Parameters'!E15</f>
        <v>0</v>
      </c>
      <c r="U64" s="2">
        <f>'System Parameters'!F15</f>
        <v>0</v>
      </c>
      <c r="V64" s="2">
        <f>'System Parameters'!G15</f>
        <v>0</v>
      </c>
      <c r="W64" s="2">
        <f>'System Parameters'!H15</f>
        <v>0</v>
      </c>
    </row>
    <row r="65" customHeight="1" spans="1:23">
      <c r="A65" s="2" t="str">
        <f>'System Parameters'!A16</f>
        <v>On</v>
      </c>
      <c r="B65" s="3">
        <f>'System Parameters'!B16</f>
        <v>1200</v>
      </c>
      <c r="C65" s="2" t="str">
        <f>'System Parameters'!C16</f>
        <v>mW</v>
      </c>
      <c r="D65" s="3">
        <f t="shared" si="1"/>
        <v>1200</v>
      </c>
      <c r="E65" s="3">
        <f t="shared" si="3"/>
        <v>1200</v>
      </c>
      <c r="F65" s="3">
        <f t="shared" si="7"/>
        <v>1200</v>
      </c>
      <c r="G65" s="3">
        <f t="shared" ref="G65:G76" si="12">$B65</f>
        <v>1200</v>
      </c>
      <c r="H65" s="2">
        <f>$B65*0.9</f>
        <v>1080</v>
      </c>
      <c r="I65" s="3">
        <f t="shared" ref="I65:O65" si="13">$B65</f>
        <v>1200</v>
      </c>
      <c r="J65" s="3">
        <f t="shared" si="13"/>
        <v>1200</v>
      </c>
      <c r="K65" s="3">
        <f t="shared" si="13"/>
        <v>1200</v>
      </c>
      <c r="L65" s="3">
        <f t="shared" si="13"/>
        <v>1200</v>
      </c>
      <c r="M65" s="3">
        <f t="shared" si="13"/>
        <v>1200</v>
      </c>
      <c r="N65" s="3">
        <f t="shared" si="13"/>
        <v>1200</v>
      </c>
      <c r="O65" s="3">
        <f t="shared" si="13"/>
        <v>1200</v>
      </c>
      <c r="T65" s="4">
        <f>'System Parameters'!E16</f>
        <v>0</v>
      </c>
      <c r="U65" s="4">
        <f>'System Parameters'!F16</f>
        <v>0</v>
      </c>
      <c r="V65" s="4">
        <f>'System Parameters'!G16</f>
        <v>0.3</v>
      </c>
      <c r="W65" s="2">
        <f>'System Parameters'!H16</f>
        <v>0</v>
      </c>
    </row>
    <row r="66" customHeight="1" spans="1:23">
      <c r="A66" s="2" t="str">
        <f>'System Parameters'!A17</f>
        <v>Idle</v>
      </c>
      <c r="B66" s="3">
        <f>'System Parameters'!B17</f>
        <v>500</v>
      </c>
      <c r="C66" s="2" t="str">
        <f>'System Parameters'!C17</f>
        <v>mW</v>
      </c>
      <c r="D66" s="3">
        <f t="shared" si="1"/>
        <v>500</v>
      </c>
      <c r="E66" s="3">
        <f t="shared" si="3"/>
        <v>500</v>
      </c>
      <c r="F66" s="3">
        <f t="shared" si="7"/>
        <v>500</v>
      </c>
      <c r="G66" s="3">
        <f t="shared" si="12"/>
        <v>500</v>
      </c>
      <c r="H66" s="3">
        <f t="shared" ref="H66:H76" si="14">$B66</f>
        <v>500</v>
      </c>
      <c r="I66" s="2">
        <f>$B66*0.9</f>
        <v>450</v>
      </c>
      <c r="J66" s="3">
        <f t="shared" ref="J66:O66" si="15">$B66</f>
        <v>500</v>
      </c>
      <c r="K66" s="3">
        <f t="shared" si="15"/>
        <v>500</v>
      </c>
      <c r="L66" s="3">
        <f t="shared" si="15"/>
        <v>500</v>
      </c>
      <c r="M66" s="3">
        <f t="shared" si="15"/>
        <v>500</v>
      </c>
      <c r="N66" s="3">
        <f t="shared" si="15"/>
        <v>500</v>
      </c>
      <c r="O66" s="3">
        <f t="shared" si="15"/>
        <v>500</v>
      </c>
      <c r="T66" s="4">
        <f>'System Parameters'!E17</f>
        <v>0</v>
      </c>
      <c r="U66" s="4">
        <f>'System Parameters'!F17</f>
        <v>0</v>
      </c>
      <c r="V66" s="4">
        <f>'System Parameters'!G17</f>
        <v>0.4</v>
      </c>
      <c r="W66" s="2">
        <f>'System Parameters'!H17</f>
        <v>0</v>
      </c>
    </row>
    <row r="67" customHeight="1" spans="1:23">
      <c r="A67" s="2" t="str">
        <f>'System Parameters'!A18</f>
        <v>Off</v>
      </c>
      <c r="B67" s="3">
        <f>'System Parameters'!B18</f>
        <v>0</v>
      </c>
      <c r="C67" s="2" t="str">
        <f>'System Parameters'!C18</f>
        <v>mW</v>
      </c>
      <c r="D67" s="3">
        <f t="shared" si="1"/>
        <v>0</v>
      </c>
      <c r="E67" s="3">
        <f t="shared" si="3"/>
        <v>0</v>
      </c>
      <c r="F67" s="3">
        <f t="shared" si="7"/>
        <v>0</v>
      </c>
      <c r="G67" s="3">
        <f t="shared" si="12"/>
        <v>0</v>
      </c>
      <c r="H67" s="3">
        <f t="shared" si="14"/>
        <v>0</v>
      </c>
      <c r="I67" s="3">
        <f t="shared" ref="I67:I76" si="16">$B67</f>
        <v>0</v>
      </c>
      <c r="J67" s="2">
        <f>$B67*0.9</f>
        <v>0</v>
      </c>
      <c r="K67" s="3">
        <f t="shared" ref="K67:O67" si="17">$B67</f>
        <v>0</v>
      </c>
      <c r="L67" s="3">
        <f t="shared" si="17"/>
        <v>0</v>
      </c>
      <c r="M67" s="3">
        <f t="shared" si="17"/>
        <v>0</v>
      </c>
      <c r="N67" s="3">
        <f t="shared" si="17"/>
        <v>0</v>
      </c>
      <c r="O67" s="3">
        <f t="shared" si="17"/>
        <v>0</v>
      </c>
      <c r="T67" s="4">
        <f>'System Parameters'!E18</f>
        <v>1</v>
      </c>
      <c r="U67" s="4">
        <f>'System Parameters'!F18</f>
        <v>1</v>
      </c>
      <c r="V67" s="4">
        <f>'System Parameters'!G18</f>
        <v>0.3</v>
      </c>
      <c r="W67" s="2">
        <f>'System Parameters'!H18</f>
        <v>0</v>
      </c>
    </row>
    <row r="68" customHeight="1" spans="1:23">
      <c r="A68" s="2">
        <f>'System Parameters'!A19</f>
        <v>0</v>
      </c>
      <c r="B68" s="3">
        <f>'System Parameters'!B19</f>
        <v>0</v>
      </c>
      <c r="C68" s="2">
        <f>'System Parameters'!C19</f>
        <v>0</v>
      </c>
      <c r="D68" s="3">
        <f t="shared" si="1"/>
        <v>0</v>
      </c>
      <c r="E68" s="3">
        <f t="shared" si="3"/>
        <v>0</v>
      </c>
      <c r="F68" s="3">
        <f t="shared" si="7"/>
        <v>0</v>
      </c>
      <c r="G68" s="3">
        <f t="shared" si="12"/>
        <v>0</v>
      </c>
      <c r="H68" s="3">
        <f t="shared" si="14"/>
        <v>0</v>
      </c>
      <c r="I68" s="3">
        <f t="shared" si="16"/>
        <v>0</v>
      </c>
      <c r="J68" s="3">
        <f t="shared" ref="J68:O68" si="18">$B68</f>
        <v>0</v>
      </c>
      <c r="K68" s="3">
        <f t="shared" si="18"/>
        <v>0</v>
      </c>
      <c r="L68" s="3">
        <f t="shared" si="18"/>
        <v>0</v>
      </c>
      <c r="M68" s="3">
        <f t="shared" si="18"/>
        <v>0</v>
      </c>
      <c r="N68" s="3">
        <f t="shared" si="18"/>
        <v>0</v>
      </c>
      <c r="O68" s="3">
        <f t="shared" si="18"/>
        <v>0</v>
      </c>
      <c r="T68" s="2">
        <f>'System Parameters'!E19</f>
        <v>0</v>
      </c>
      <c r="U68" s="2">
        <f>'System Parameters'!F19</f>
        <v>0</v>
      </c>
      <c r="V68" s="2">
        <f>'System Parameters'!G19</f>
        <v>0</v>
      </c>
      <c r="W68" s="2">
        <f>'System Parameters'!H19</f>
        <v>0</v>
      </c>
    </row>
    <row r="69" customHeight="1" spans="1:23">
      <c r="A69" s="2" t="str">
        <f>'System Parameters'!A20</f>
        <v>Display</v>
      </c>
      <c r="B69" s="3">
        <f>'System Parameters'!B20</f>
        <v>0</v>
      </c>
      <c r="C69" s="2">
        <f>'System Parameters'!C20</f>
        <v>0</v>
      </c>
      <c r="D69" s="3">
        <f t="shared" si="1"/>
        <v>0</v>
      </c>
      <c r="E69" s="3">
        <f t="shared" si="3"/>
        <v>0</v>
      </c>
      <c r="F69" s="3">
        <f t="shared" si="7"/>
        <v>0</v>
      </c>
      <c r="G69" s="3">
        <f t="shared" si="12"/>
        <v>0</v>
      </c>
      <c r="H69" s="3">
        <f t="shared" si="14"/>
        <v>0</v>
      </c>
      <c r="I69" s="3">
        <f t="shared" si="16"/>
        <v>0</v>
      </c>
      <c r="J69" s="3">
        <f t="shared" ref="J69:O69" si="19">$B69</f>
        <v>0</v>
      </c>
      <c r="K69" s="3">
        <f t="shared" si="19"/>
        <v>0</v>
      </c>
      <c r="L69" s="3">
        <f t="shared" si="19"/>
        <v>0</v>
      </c>
      <c r="M69" s="3">
        <f t="shared" si="19"/>
        <v>0</v>
      </c>
      <c r="N69" s="3">
        <f t="shared" si="19"/>
        <v>0</v>
      </c>
      <c r="O69" s="3">
        <f t="shared" si="19"/>
        <v>0</v>
      </c>
      <c r="T69" s="2">
        <f>'System Parameters'!E20</f>
        <v>0</v>
      </c>
      <c r="U69" s="2">
        <f>'System Parameters'!F20</f>
        <v>0</v>
      </c>
      <c r="V69" s="2">
        <f>'System Parameters'!G20</f>
        <v>0</v>
      </c>
      <c r="W69" s="2">
        <f>'System Parameters'!H20</f>
        <v>0</v>
      </c>
    </row>
    <row r="70" customHeight="1" spans="1:23">
      <c r="A70" s="2" t="str">
        <f>'System Parameters'!A21</f>
        <v>On</v>
      </c>
      <c r="B70" s="3">
        <f>'System Parameters'!B21</f>
        <v>66</v>
      </c>
      <c r="C70" s="2" t="str">
        <f>'System Parameters'!C21</f>
        <v>mW</v>
      </c>
      <c r="D70" s="3">
        <f t="shared" si="1"/>
        <v>66</v>
      </c>
      <c r="E70" s="3">
        <f t="shared" si="3"/>
        <v>66</v>
      </c>
      <c r="F70" s="3">
        <f t="shared" si="7"/>
        <v>66</v>
      </c>
      <c r="G70" s="3">
        <f t="shared" si="12"/>
        <v>66</v>
      </c>
      <c r="H70" s="3">
        <f t="shared" si="14"/>
        <v>66</v>
      </c>
      <c r="I70" s="3">
        <f t="shared" si="16"/>
        <v>66</v>
      </c>
      <c r="J70" s="3">
        <f t="shared" ref="J70:J76" si="20">$B70</f>
        <v>66</v>
      </c>
      <c r="K70" s="2">
        <f>$B70*0.9</f>
        <v>59.4</v>
      </c>
      <c r="L70" s="3">
        <f t="shared" ref="L70:O70" si="21">$B70</f>
        <v>66</v>
      </c>
      <c r="M70" s="3">
        <f t="shared" si="21"/>
        <v>66</v>
      </c>
      <c r="N70" s="3">
        <f t="shared" si="21"/>
        <v>66</v>
      </c>
      <c r="O70" s="3">
        <f t="shared" si="21"/>
        <v>66</v>
      </c>
      <c r="T70" s="4">
        <f>'System Parameters'!E21</f>
        <v>0</v>
      </c>
      <c r="U70" s="4">
        <f>'System Parameters'!F21</f>
        <v>0.8</v>
      </c>
      <c r="V70" s="4">
        <f>'System Parameters'!G21</f>
        <v>1</v>
      </c>
      <c r="W70" s="2">
        <f>'System Parameters'!H21</f>
        <v>0</v>
      </c>
    </row>
    <row r="71" customHeight="1" spans="1:23">
      <c r="A71" s="2" t="str">
        <f>'System Parameters'!A22</f>
        <v>Off (leakage)</v>
      </c>
      <c r="B71" s="3">
        <f>'System Parameters'!B22</f>
        <v>0</v>
      </c>
      <c r="C71" s="2" t="str">
        <f>'System Parameters'!C22</f>
        <v>mW</v>
      </c>
      <c r="D71" s="3">
        <f t="shared" si="1"/>
        <v>0</v>
      </c>
      <c r="E71" s="3">
        <f t="shared" si="3"/>
        <v>0</v>
      </c>
      <c r="F71" s="3">
        <f t="shared" si="7"/>
        <v>0</v>
      </c>
      <c r="G71" s="3">
        <f t="shared" si="12"/>
        <v>0</v>
      </c>
      <c r="H71" s="3">
        <f t="shared" si="14"/>
        <v>0</v>
      </c>
      <c r="I71" s="3">
        <f t="shared" si="16"/>
        <v>0</v>
      </c>
      <c r="J71" s="3">
        <f t="shared" si="20"/>
        <v>0</v>
      </c>
      <c r="K71" s="3">
        <f t="shared" ref="K71:K76" si="22">$B71</f>
        <v>0</v>
      </c>
      <c r="L71" s="2">
        <f>$B71*0.9</f>
        <v>0</v>
      </c>
      <c r="M71" s="3">
        <f t="shared" ref="M71:O71" si="23">$B71</f>
        <v>0</v>
      </c>
      <c r="N71" s="3">
        <f t="shared" si="23"/>
        <v>0</v>
      </c>
      <c r="O71" s="3">
        <f t="shared" si="23"/>
        <v>0</v>
      </c>
      <c r="T71" s="4">
        <f>'System Parameters'!E22</f>
        <v>1</v>
      </c>
      <c r="U71" s="4">
        <f>'System Parameters'!F22</f>
        <v>0.2</v>
      </c>
      <c r="V71" s="4">
        <f>'System Parameters'!G22</f>
        <v>0</v>
      </c>
      <c r="W71" s="2">
        <f>'System Parameters'!H22</f>
        <v>0</v>
      </c>
    </row>
    <row r="72" customHeight="1" spans="1:23">
      <c r="A72" s="2">
        <f>'System Parameters'!A23</f>
        <v>0</v>
      </c>
      <c r="B72" s="2">
        <f>'System Parameters'!B23</f>
        <v>0</v>
      </c>
      <c r="C72" s="2">
        <f>'System Parameters'!C23</f>
        <v>0</v>
      </c>
      <c r="D72" s="2">
        <f t="shared" si="1"/>
        <v>0</v>
      </c>
      <c r="E72" s="2">
        <f t="shared" si="3"/>
        <v>0</v>
      </c>
      <c r="F72" s="2">
        <f t="shared" si="7"/>
        <v>0</v>
      </c>
      <c r="G72" s="2">
        <f t="shared" si="12"/>
        <v>0</v>
      </c>
      <c r="H72" s="2">
        <f t="shared" si="14"/>
        <v>0</v>
      </c>
      <c r="I72" s="2">
        <f t="shared" si="16"/>
        <v>0</v>
      </c>
      <c r="J72" s="2">
        <f t="shared" si="20"/>
        <v>0</v>
      </c>
      <c r="K72" s="2">
        <f t="shared" si="22"/>
        <v>0</v>
      </c>
      <c r="L72" s="2">
        <f t="shared" ref="L72:O72" si="24">$B72</f>
        <v>0</v>
      </c>
      <c r="M72" s="2">
        <f t="shared" si="24"/>
        <v>0</v>
      </c>
      <c r="N72" s="2">
        <f t="shared" si="24"/>
        <v>0</v>
      </c>
      <c r="O72" s="2">
        <f t="shared" si="24"/>
        <v>0</v>
      </c>
      <c r="T72" s="2">
        <f>'System Parameters'!E23</f>
        <v>0</v>
      </c>
      <c r="U72" s="2">
        <f>'System Parameters'!F23</f>
        <v>0</v>
      </c>
      <c r="V72" s="2">
        <f>'System Parameters'!G23</f>
        <v>0</v>
      </c>
      <c r="W72" s="2">
        <f>'System Parameters'!H23</f>
        <v>0</v>
      </c>
    </row>
    <row r="73" customHeight="1" spans="1:23">
      <c r="A73" s="2" t="str">
        <f>'System Parameters'!A24</f>
        <v>Radio</v>
      </c>
      <c r="B73" s="2">
        <f>'System Parameters'!B24</f>
        <v>0</v>
      </c>
      <c r="C73" s="2">
        <f>'System Parameters'!C24</f>
        <v>0</v>
      </c>
      <c r="D73" s="2">
        <f t="shared" si="1"/>
        <v>0</v>
      </c>
      <c r="E73" s="2">
        <f t="shared" si="3"/>
        <v>0</v>
      </c>
      <c r="F73" s="2">
        <f t="shared" si="7"/>
        <v>0</v>
      </c>
      <c r="G73" s="2">
        <f t="shared" si="12"/>
        <v>0</v>
      </c>
      <c r="H73" s="2">
        <f t="shared" si="14"/>
        <v>0</v>
      </c>
      <c r="I73" s="2">
        <f t="shared" si="16"/>
        <v>0</v>
      </c>
      <c r="J73" s="2">
        <f t="shared" si="20"/>
        <v>0</v>
      </c>
      <c r="K73" s="2">
        <f t="shared" si="22"/>
        <v>0</v>
      </c>
      <c r="L73" s="2">
        <f t="shared" ref="L73:O73" si="25">$B73</f>
        <v>0</v>
      </c>
      <c r="M73" s="2">
        <f t="shared" si="25"/>
        <v>0</v>
      </c>
      <c r="N73" s="2">
        <f t="shared" si="25"/>
        <v>0</v>
      </c>
      <c r="O73" s="2">
        <f t="shared" si="25"/>
        <v>0</v>
      </c>
      <c r="T73" s="2">
        <f>'System Parameters'!E24</f>
        <v>0</v>
      </c>
      <c r="U73" s="2">
        <f>'System Parameters'!F24</f>
        <v>0</v>
      </c>
      <c r="V73" s="2">
        <f>'System Parameters'!G24</f>
        <v>0</v>
      </c>
      <c r="W73" s="2">
        <f>'System Parameters'!H24</f>
        <v>0</v>
      </c>
    </row>
    <row r="74" customHeight="1" spans="1:23">
      <c r="A74" s="2" t="str">
        <f>'System Parameters'!A26</f>
        <v>Standby Power</v>
      </c>
      <c r="B74" s="3">
        <f>'System Parameters'!B26</f>
        <v>17</v>
      </c>
      <c r="C74" s="2" t="str">
        <f>'System Parameters'!C26</f>
        <v>mW</v>
      </c>
      <c r="D74" s="3">
        <f t="shared" si="1"/>
        <v>17</v>
      </c>
      <c r="E74" s="3">
        <f t="shared" si="3"/>
        <v>17</v>
      </c>
      <c r="F74" s="3">
        <f t="shared" si="7"/>
        <v>17</v>
      </c>
      <c r="G74" s="3">
        <f t="shared" si="12"/>
        <v>17</v>
      </c>
      <c r="H74" s="3">
        <f t="shared" si="14"/>
        <v>17</v>
      </c>
      <c r="I74" s="3">
        <f t="shared" si="16"/>
        <v>17</v>
      </c>
      <c r="J74" s="3">
        <f t="shared" si="20"/>
        <v>17</v>
      </c>
      <c r="K74" s="3">
        <f t="shared" si="22"/>
        <v>17</v>
      </c>
      <c r="L74" s="3">
        <f t="shared" ref="L74:L76" si="26">$B74</f>
        <v>17</v>
      </c>
      <c r="M74" s="2">
        <f>$B74*0.9</f>
        <v>15.3</v>
      </c>
      <c r="N74" s="3">
        <f t="shared" ref="N74:O74" si="27">$B74</f>
        <v>17</v>
      </c>
      <c r="O74" s="3">
        <f t="shared" si="27"/>
        <v>17</v>
      </c>
      <c r="T74" s="4">
        <f>'System Parameters'!E26</f>
        <v>0</v>
      </c>
      <c r="U74" s="4">
        <f>'System Parameters'!F26</f>
        <v>0.85</v>
      </c>
      <c r="V74" s="4">
        <f>'System Parameters'!G26</f>
        <v>0.4</v>
      </c>
      <c r="W74" s="2">
        <f>'System Parameters'!H26</f>
        <v>0</v>
      </c>
    </row>
    <row r="75" customHeight="1" spans="1:23">
      <c r="A75" s="2" t="str">
        <f>'System Parameters'!A27</f>
        <v>TX Power</v>
      </c>
      <c r="B75" s="3">
        <f>'System Parameters'!B27</f>
        <v>149</v>
      </c>
      <c r="C75" s="2" t="str">
        <f>'System Parameters'!C27</f>
        <v>mW</v>
      </c>
      <c r="D75" s="3">
        <f t="shared" si="1"/>
        <v>149</v>
      </c>
      <c r="E75" s="3">
        <f t="shared" si="3"/>
        <v>149</v>
      </c>
      <c r="F75" s="3">
        <f t="shared" si="7"/>
        <v>149</v>
      </c>
      <c r="G75" s="3">
        <f t="shared" si="12"/>
        <v>149</v>
      </c>
      <c r="H75" s="3">
        <f t="shared" si="14"/>
        <v>149</v>
      </c>
      <c r="I75" s="3">
        <f t="shared" si="16"/>
        <v>149</v>
      </c>
      <c r="J75" s="3">
        <f t="shared" si="20"/>
        <v>149</v>
      </c>
      <c r="K75" s="3">
        <f t="shared" si="22"/>
        <v>149</v>
      </c>
      <c r="L75" s="3">
        <f t="shared" si="26"/>
        <v>149</v>
      </c>
      <c r="M75" s="3">
        <f t="shared" ref="M75:M76" si="28">$B75</f>
        <v>149</v>
      </c>
      <c r="N75" s="2">
        <f>$B75*0.9</f>
        <v>134.1</v>
      </c>
      <c r="O75" s="3">
        <f>$B75</f>
        <v>149</v>
      </c>
      <c r="T75" s="4">
        <f>'System Parameters'!E27</f>
        <v>0</v>
      </c>
      <c r="U75" s="4">
        <f>'System Parameters'!F27</f>
        <v>0.05</v>
      </c>
      <c r="V75" s="4">
        <f>'System Parameters'!G27</f>
        <v>0.25</v>
      </c>
      <c r="W75" s="2">
        <f>'System Parameters'!H27</f>
        <v>0</v>
      </c>
    </row>
    <row r="76" customHeight="1" spans="1:23">
      <c r="A76" s="2" t="str">
        <f>'System Parameters'!A28</f>
        <v>RX Power</v>
      </c>
      <c r="B76" s="3">
        <f>'System Parameters'!B28</f>
        <v>66</v>
      </c>
      <c r="C76" s="2" t="str">
        <f>'System Parameters'!C28</f>
        <v>mW</v>
      </c>
      <c r="D76" s="3">
        <f t="shared" si="1"/>
        <v>66</v>
      </c>
      <c r="E76" s="3">
        <f t="shared" si="3"/>
        <v>66</v>
      </c>
      <c r="F76" s="3">
        <f t="shared" si="7"/>
        <v>66</v>
      </c>
      <c r="G76" s="3">
        <f t="shared" si="12"/>
        <v>66</v>
      </c>
      <c r="H76" s="3">
        <f t="shared" si="14"/>
        <v>66</v>
      </c>
      <c r="I76" s="3">
        <f t="shared" si="16"/>
        <v>66</v>
      </c>
      <c r="J76" s="3">
        <f t="shared" si="20"/>
        <v>66</v>
      </c>
      <c r="K76" s="3">
        <f t="shared" si="22"/>
        <v>66</v>
      </c>
      <c r="L76" s="3">
        <f t="shared" si="26"/>
        <v>66</v>
      </c>
      <c r="M76" s="3">
        <f t="shared" si="28"/>
        <v>66</v>
      </c>
      <c r="N76" s="3">
        <f>$B76</f>
        <v>66</v>
      </c>
      <c r="O76" s="2">
        <f>$B76*0.9</f>
        <v>59.4</v>
      </c>
      <c r="T76" s="4">
        <f>'System Parameters'!E28</f>
        <v>0</v>
      </c>
      <c r="U76" s="4">
        <f>'System Parameters'!F28</f>
        <v>0.1</v>
      </c>
      <c r="V76" s="4">
        <f>'System Parameters'!G28</f>
        <v>0.35</v>
      </c>
      <c r="W76" s="2">
        <f>'System Parameters'!H28</f>
        <v>0</v>
      </c>
    </row>
    <row r="77" customHeight="1" spans="1:23">
      <c r="A77" s="2">
        <f>'System Parameters'!A29</f>
        <v>0</v>
      </c>
      <c r="B77" s="2">
        <f>'System Parameters'!B29</f>
        <v>0</v>
      </c>
      <c r="C77" s="2">
        <f>'System Parameters'!C29</f>
        <v>0</v>
      </c>
      <c r="D77" s="2">
        <f>'System Parameters'!D29</f>
        <v>0</v>
      </c>
      <c r="T77" s="2">
        <f>'System Parameters'!E29</f>
        <v>0</v>
      </c>
      <c r="U77" s="2">
        <f>'System Parameters'!F29</f>
        <v>0</v>
      </c>
      <c r="V77" s="2">
        <f>'System Parameters'!G29</f>
        <v>0</v>
      </c>
      <c r="W77" s="2">
        <f>'System Parameters'!H29</f>
        <v>0</v>
      </c>
    </row>
    <row r="78" customHeight="1" spans="1:23">
      <c r="A78" s="2">
        <f>'System Parameters'!A30</f>
        <v>0</v>
      </c>
      <c r="B78" s="2">
        <f>'System Parameters'!B30</f>
        <v>0</v>
      </c>
      <c r="C78" s="2">
        <f>'System Parameters'!C30</f>
        <v>0</v>
      </c>
      <c r="D78" s="2">
        <f>'System Parameters'!D30</f>
        <v>0</v>
      </c>
      <c r="T78" s="2">
        <f>'System Parameters'!E30</f>
        <v>12</v>
      </c>
      <c r="U78" s="2">
        <f>'System Parameters'!F30</f>
        <v>8</v>
      </c>
      <c r="V78" s="2">
        <f>'System Parameters'!G30</f>
        <v>4</v>
      </c>
      <c r="W78" s="2" t="str">
        <f>'System Parameters'!H30</f>
        <v>hours/day typical usage</v>
      </c>
    </row>
    <row r="79" customHeight="1" spans="1:23">
      <c r="A79" s="2" t="str">
        <f>'System Parameters'!A31</f>
        <v>Battery</v>
      </c>
      <c r="B79" s="2">
        <f>'System Parameters'!B31</f>
        <v>0</v>
      </c>
      <c r="C79" s="2">
        <f>'System Parameters'!C31</f>
        <v>0</v>
      </c>
      <c r="D79" s="2">
        <f>'System Parameters'!D31</f>
        <v>0</v>
      </c>
      <c r="T79" s="2">
        <f>'System Parameters'!E31</f>
        <v>0</v>
      </c>
      <c r="U79" s="2">
        <f>'System Parameters'!F31</f>
        <v>0</v>
      </c>
      <c r="V79" s="2">
        <f>'System Parameters'!G31</f>
        <v>0</v>
      </c>
      <c r="W79" s="2">
        <f>'System Parameters'!H31</f>
        <v>0</v>
      </c>
    </row>
    <row r="80" customHeight="1" spans="1:23">
      <c r="A80" s="2" t="str">
        <f>'System Parameters'!A32</f>
        <v>Capacity</v>
      </c>
      <c r="B80" s="3">
        <f>'System Parameters'!B32</f>
        <v>3400</v>
      </c>
      <c r="C80" s="2" t="str">
        <f>'System Parameters'!C32</f>
        <v>mAh</v>
      </c>
      <c r="D80" s="2">
        <f>'System Parameters'!D32</f>
        <v>0</v>
      </c>
      <c r="T80" s="2">
        <f>'System Parameters'!E32</f>
        <v>0</v>
      </c>
      <c r="U80" s="2">
        <f>'System Parameters'!F32</f>
        <v>0</v>
      </c>
      <c r="V80" s="2">
        <f>'System Parameters'!G32</f>
        <v>0</v>
      </c>
      <c r="W80" s="2">
        <f>'System Parameters'!H32</f>
        <v>0</v>
      </c>
    </row>
    <row r="81" customHeight="1" spans="1:23">
      <c r="A81" s="2" t="str">
        <f>'System Parameters'!A33</f>
        <v>Nominal Voltage</v>
      </c>
      <c r="B81" s="3">
        <f>'System Parameters'!B33</f>
        <v>4</v>
      </c>
      <c r="C81" s="2" t="str">
        <f>'System Parameters'!C33</f>
        <v>V</v>
      </c>
      <c r="D81" s="2">
        <f>'System Parameters'!D33</f>
        <v>0</v>
      </c>
      <c r="T81" s="2">
        <f>'System Parameters'!E33</f>
        <v>0</v>
      </c>
      <c r="U81" s="2">
        <f>'System Parameters'!F33</f>
        <v>0</v>
      </c>
      <c r="V81" s="2">
        <f>'System Parameters'!G33</f>
        <v>0</v>
      </c>
      <c r="W81" s="2">
        <f>'System Parameters'!H33</f>
        <v>0</v>
      </c>
    </row>
    <row r="82" customHeight="1" spans="1:23">
      <c r="A82" s="2" t="str">
        <f>'System Parameters'!A34</f>
        <v>Regulator Efficiency</v>
      </c>
      <c r="B82" s="4">
        <f>'System Parameters'!B34</f>
        <v>0.85</v>
      </c>
      <c r="C82" s="2">
        <f>'System Parameters'!C34</f>
        <v>0</v>
      </c>
      <c r="D82" s="2">
        <f>'System Parameters'!D34</f>
        <v>0</v>
      </c>
      <c r="T82" s="2">
        <f>'System Parameters'!E34</f>
        <v>0</v>
      </c>
      <c r="U82" s="2">
        <f>'System Parameters'!F34</f>
        <v>0</v>
      </c>
      <c r="V82" s="2">
        <f>'System Parameters'!G34</f>
        <v>0</v>
      </c>
      <c r="W82" s="2">
        <f>'System Parameters'!H34</f>
        <v>0</v>
      </c>
    </row>
    <row r="83" customHeight="1" spans="1:22">
      <c r="A83" s="2">
        <f>'System Parameters'!A35</f>
        <v>0</v>
      </c>
      <c r="B83" s="2">
        <f>'System Parameters'!B35</f>
        <v>0</v>
      </c>
      <c r="C83" s="2">
        <f>'System Parameters'!C35</f>
        <v>0</v>
      </c>
      <c r="D83" s="2">
        <f>'System Parameters'!D35</f>
        <v>0</v>
      </c>
      <c r="O83" s="2">
        <f>'System Parameters'!E35</f>
        <v>0</v>
      </c>
      <c r="P83" s="2">
        <f>'System Parameters'!F35</f>
        <v>0</v>
      </c>
      <c r="Q83" s="2">
        <f>'System Parameters'!G35</f>
        <v>0</v>
      </c>
      <c r="R83" s="2">
        <f>'System Parameters'!H35</f>
        <v>0</v>
      </c>
      <c r="S83" s="2">
        <f>'System Parameters'!I35</f>
        <v>0</v>
      </c>
      <c r="T83" s="2">
        <f>'System Parameters'!J35</f>
        <v>0</v>
      </c>
      <c r="U83" s="2" t="e">
        <f>#REF!</f>
        <v>#REF!</v>
      </c>
      <c r="V83" s="2" t="e">
        <f>#REF!</f>
        <v>#REF!</v>
      </c>
    </row>
    <row r="84" customHeight="1" spans="1:22">
      <c r="A84" s="2">
        <f>'System Parameters'!A36</f>
        <v>0</v>
      </c>
      <c r="B84" s="2">
        <f>'System Parameters'!B36</f>
        <v>0</v>
      </c>
      <c r="C84" s="2">
        <f>'System Parameters'!C36</f>
        <v>0</v>
      </c>
      <c r="D84" s="2">
        <f>'System Parameters'!D36</f>
        <v>0</v>
      </c>
      <c r="O84" s="2">
        <f>'System Parameters'!E36</f>
        <v>0</v>
      </c>
      <c r="P84" s="2">
        <f>'System Parameters'!F36</f>
        <v>0</v>
      </c>
      <c r="Q84" s="2">
        <f>'System Parameters'!G36</f>
        <v>0</v>
      </c>
      <c r="R84" s="2">
        <f>'System Parameters'!H36</f>
        <v>0</v>
      </c>
      <c r="S84" s="2">
        <f>'System Parameters'!I36</f>
        <v>0</v>
      </c>
      <c r="T84" s="2">
        <f>'System Parameters'!J36</f>
        <v>0</v>
      </c>
      <c r="U84" s="2" t="e">
        <f>#REF!</f>
        <v>#REF!</v>
      </c>
      <c r="V84" s="2" t="e">
        <f>#REF!</f>
        <v>#REF!</v>
      </c>
    </row>
    <row r="85" customHeight="1" spans="1:22">
      <c r="A85" s="2">
        <f>'System Parameters'!A37</f>
        <v>0</v>
      </c>
      <c r="B85" s="2">
        <f>'System Parameters'!K24</f>
        <v>0</v>
      </c>
      <c r="C85" s="2">
        <f>'System Parameters'!L24</f>
        <v>0</v>
      </c>
      <c r="D85" s="2">
        <f>'System Parameters'!M24</f>
        <v>0</v>
      </c>
      <c r="O85" s="2">
        <f>'System Parameters'!N24</f>
        <v>0</v>
      </c>
      <c r="P85" s="2">
        <f>'System Parameters'!O24</f>
        <v>0</v>
      </c>
      <c r="Q85" s="2">
        <f>'System Parameters'!P24</f>
        <v>0</v>
      </c>
      <c r="R85" s="2">
        <f>'System Parameters'!Q24</f>
        <v>0</v>
      </c>
      <c r="S85" s="2">
        <f>'System Parameters'!I37</f>
        <v>0</v>
      </c>
      <c r="T85" s="2">
        <f>'System Parameters'!J37</f>
        <v>0</v>
      </c>
      <c r="U85" s="2" t="e">
        <f>#REF!</f>
        <v>#REF!</v>
      </c>
      <c r="V85" s="2" t="e">
        <f>#REF!</f>
        <v>#REF!</v>
      </c>
    </row>
    <row r="86" customHeight="1" spans="1:22">
      <c r="A86" s="2" t="str">
        <f>'System Parameters'!A38</f>
        <v>REFLECTIONS : WHAT DID YOU LEARN FROM ANALYZING YOUR POWER.  TALK ABOUT SOME POTENTIAL TRADEOFFS. </v>
      </c>
      <c r="B86" s="2">
        <f>'System Parameters'!K25</f>
        <v>0</v>
      </c>
      <c r="C86" s="2" t="e">
        <f>#REF!</f>
        <v>#REF!</v>
      </c>
      <c r="D86" s="2" t="e">
        <f>#REF!</f>
        <v>#REF!</v>
      </c>
      <c r="O86" s="2" t="e">
        <f>#REF!</f>
        <v>#REF!</v>
      </c>
      <c r="P86" s="2" t="e">
        <f>#REF!</f>
        <v>#REF!</v>
      </c>
      <c r="Q86" s="2" t="e">
        <f>#REF!</f>
        <v>#REF!</v>
      </c>
      <c r="R86" s="2">
        <f>'System Parameters'!Q25</f>
        <v>0</v>
      </c>
      <c r="S86" s="2">
        <f>'System Parameters'!I38</f>
        <v>0</v>
      </c>
      <c r="T86" s="2">
        <f>'System Parameters'!J38</f>
        <v>0</v>
      </c>
      <c r="U86" s="2" t="e">
        <f>#REF!</f>
        <v>#REF!</v>
      </c>
      <c r="V86" s="2" t="e">
        <f>#REF!</f>
        <v>#REF!</v>
      </c>
    </row>
    <row r="87" customHeight="1" spans="1:22">
      <c r="A87" s="2" t="str">
        <f>'System Parameters'!L25</f>
        <v>Total power in profile (mw)</v>
      </c>
      <c r="B87" s="2">
        <f>'System Parameters'!M25</f>
        <v>0</v>
      </c>
      <c r="C87" s="2">
        <f>'System Parameters'!N25</f>
        <v>0</v>
      </c>
      <c r="R87" s="2">
        <f>'System Parameters'!Q26</f>
        <v>0</v>
      </c>
      <c r="S87" s="2">
        <f>'System Parameters'!I39</f>
        <v>0</v>
      </c>
      <c r="T87" s="2">
        <f>'System Parameters'!J39</f>
        <v>0</v>
      </c>
      <c r="U87" s="2">
        <f>'System Parameters'!K39</f>
        <v>0</v>
      </c>
      <c r="V87" s="2">
        <f>'System Parameters'!L39</f>
        <v>0</v>
      </c>
    </row>
    <row r="88" customHeight="1" spans="1:22">
      <c r="A88" s="2" t="str">
        <f>'System Parameters'!L26</f>
        <v>"off"</v>
      </c>
      <c r="B88" s="2">
        <f>SUMPRODUCT(B56:B76,$T56:$T76)</f>
        <v>0</v>
      </c>
      <c r="C88" s="2" t="str">
        <f>'System Parameters'!N26</f>
        <v>mW</v>
      </c>
      <c r="D88" s="2">
        <f t="shared" ref="D88:O88" si="29">SUMPRODUCT(D56:D76,$T56:$T76)</f>
        <v>0</v>
      </c>
      <c r="E88" s="2">
        <f t="shared" si="29"/>
        <v>0</v>
      </c>
      <c r="F88" s="2">
        <f t="shared" si="29"/>
        <v>0</v>
      </c>
      <c r="G88" s="2">
        <f t="shared" si="29"/>
        <v>0</v>
      </c>
      <c r="H88" s="2">
        <f t="shared" si="29"/>
        <v>0</v>
      </c>
      <c r="I88" s="2">
        <f t="shared" si="29"/>
        <v>0</v>
      </c>
      <c r="J88" s="2">
        <f t="shared" si="29"/>
        <v>0</v>
      </c>
      <c r="K88" s="2">
        <f t="shared" si="29"/>
        <v>0</v>
      </c>
      <c r="L88" s="2">
        <f t="shared" si="29"/>
        <v>0</v>
      </c>
      <c r="M88" s="2">
        <f t="shared" si="29"/>
        <v>0</v>
      </c>
      <c r="N88" s="2">
        <f t="shared" si="29"/>
        <v>0</v>
      </c>
      <c r="O88" s="2">
        <f t="shared" si="29"/>
        <v>0</v>
      </c>
      <c r="R88" s="2">
        <f>'System Parameters'!Q27</f>
        <v>0</v>
      </c>
      <c r="S88" s="2">
        <f>'System Parameters'!I40</f>
        <v>0</v>
      </c>
      <c r="T88" s="2">
        <f>'System Parameters'!J40</f>
        <v>0</v>
      </c>
      <c r="U88" s="2">
        <f>'System Parameters'!K40</f>
        <v>0</v>
      </c>
      <c r="V88" s="2">
        <f>'System Parameters'!L40</f>
        <v>0</v>
      </c>
    </row>
    <row r="89" customHeight="1" spans="1:22">
      <c r="A89" s="2" t="str">
        <f>'System Parameters'!L27</f>
        <v>"sensing"</v>
      </c>
      <c r="B89" s="2">
        <f>SUMPRODUCT(B56:B76,$U56:$U76)</f>
        <v>132.1</v>
      </c>
      <c r="C89" s="2" t="str">
        <f>'System Parameters'!N27</f>
        <v>mW</v>
      </c>
      <c r="D89" s="2">
        <f t="shared" ref="D89:O89" si="30">SUMPRODUCT(D56:D76,$U56:$U76)</f>
        <v>131.605</v>
      </c>
      <c r="E89" s="2">
        <f t="shared" si="30"/>
        <v>131.515</v>
      </c>
      <c r="F89" s="2">
        <f t="shared" si="30"/>
        <v>132.1</v>
      </c>
      <c r="G89" s="2">
        <f t="shared" si="30"/>
        <v>128.1</v>
      </c>
      <c r="H89" s="2">
        <f t="shared" si="30"/>
        <v>132.1</v>
      </c>
      <c r="I89" s="2">
        <f t="shared" si="30"/>
        <v>132.1</v>
      </c>
      <c r="J89" s="2">
        <f t="shared" si="30"/>
        <v>132.1</v>
      </c>
      <c r="K89" s="2">
        <f t="shared" si="30"/>
        <v>126.82</v>
      </c>
      <c r="L89" s="2">
        <f t="shared" si="30"/>
        <v>132.1</v>
      </c>
      <c r="M89" s="2">
        <f t="shared" si="30"/>
        <v>130.655</v>
      </c>
      <c r="N89" s="2">
        <f t="shared" si="30"/>
        <v>131.355</v>
      </c>
      <c r="O89" s="2">
        <f t="shared" si="30"/>
        <v>131.44</v>
      </c>
      <c r="R89" s="2">
        <f>'System Parameters'!Q28</f>
        <v>0</v>
      </c>
      <c r="S89" s="2">
        <f>'System Parameters'!I41</f>
        <v>0</v>
      </c>
      <c r="T89" s="2">
        <f>'System Parameters'!J41</f>
        <v>0</v>
      </c>
      <c r="U89" s="2">
        <f>'System Parameters'!K41</f>
        <v>0</v>
      </c>
      <c r="V89" s="2">
        <f>'System Parameters'!L41</f>
        <v>0</v>
      </c>
    </row>
    <row r="90" customHeight="1" spans="1:22">
      <c r="A90" s="2" t="str">
        <f>'System Parameters'!L28</f>
        <v>"interactive"</v>
      </c>
      <c r="B90" s="2">
        <f>SUMPRODUCT(B56:B76,$V56:$V76)</f>
        <v>1085.7</v>
      </c>
      <c r="C90" s="2" t="str">
        <f>'System Parameters'!N28</f>
        <v>mW</v>
      </c>
      <c r="D90" s="2">
        <f t="shared" ref="D90:O90" si="31">SUMPRODUCT(D56:D76,$V56:$V76)</f>
        <v>1078.77</v>
      </c>
      <c r="E90" s="2">
        <f t="shared" si="31"/>
        <v>1085.375</v>
      </c>
      <c r="F90" s="2">
        <f t="shared" si="31"/>
        <v>1085.7</v>
      </c>
      <c r="G90" s="2">
        <f t="shared" si="31"/>
        <v>1053.7</v>
      </c>
      <c r="H90" s="2">
        <f t="shared" si="31"/>
        <v>1049.7</v>
      </c>
      <c r="I90" s="2">
        <f t="shared" si="31"/>
        <v>1065.7</v>
      </c>
      <c r="J90" s="2">
        <f t="shared" si="31"/>
        <v>1085.7</v>
      </c>
      <c r="K90" s="2">
        <f t="shared" si="31"/>
        <v>1079.1</v>
      </c>
      <c r="L90" s="2">
        <f t="shared" si="31"/>
        <v>1085.7</v>
      </c>
      <c r="M90" s="2">
        <f t="shared" si="31"/>
        <v>1085.02</v>
      </c>
      <c r="N90" s="2">
        <f t="shared" si="31"/>
        <v>1081.975</v>
      </c>
      <c r="O90" s="2">
        <f t="shared" si="31"/>
        <v>1083.39</v>
      </c>
      <c r="R90" s="2">
        <f>'System Parameters'!Q29</f>
        <v>0</v>
      </c>
      <c r="S90" s="2">
        <f>'System Parameters'!I42</f>
        <v>0</v>
      </c>
      <c r="T90" s="2">
        <f>'System Parameters'!J42</f>
        <v>0</v>
      </c>
      <c r="U90" s="2">
        <f>'System Parameters'!K42</f>
        <v>0</v>
      </c>
      <c r="V90" s="2">
        <f>'System Parameters'!L42</f>
        <v>0</v>
      </c>
    </row>
    <row r="91" customHeight="1" spans="1:22">
      <c r="A91" s="2">
        <f>'System Parameters'!L29</f>
        <v>0</v>
      </c>
      <c r="B91" s="2">
        <f>'System Parameters'!M29</f>
        <v>0</v>
      </c>
      <c r="C91" s="2">
        <f>'System Parameters'!N29</f>
        <v>0</v>
      </c>
      <c r="D91" s="2">
        <f>'System Parameters'!O29</f>
        <v>0</v>
      </c>
      <c r="E91" s="2">
        <f>'System Parameters'!P29</f>
        <v>0</v>
      </c>
      <c r="F91" s="2">
        <f>'System Parameters'!Q30</f>
        <v>0</v>
      </c>
      <c r="G91" s="2">
        <f>'System Parameters'!I43</f>
        <v>0</v>
      </c>
      <c r="H91" s="2">
        <f>'System Parameters'!J43</f>
        <v>0</v>
      </c>
      <c r="I91" s="2">
        <f>'System Parameters'!K43</f>
        <v>0</v>
      </c>
      <c r="J91" s="2">
        <f>'System Parameters'!L43</f>
        <v>0</v>
      </c>
      <c r="K91" s="2">
        <f>'System Parameters'!M43</f>
        <v>0</v>
      </c>
      <c r="L91" s="2">
        <f>'System Parameters'!N43</f>
        <v>0</v>
      </c>
      <c r="M91" s="2">
        <f>'System Parameters'!O43</f>
        <v>0</v>
      </c>
      <c r="N91" s="2">
        <f>'System Parameters'!P43</f>
        <v>0</v>
      </c>
      <c r="O91" s="2">
        <f>'System Parameters'!Q43</f>
        <v>0</v>
      </c>
      <c r="R91" s="2">
        <f>'System Parameters'!Q30</f>
        <v>0</v>
      </c>
      <c r="S91" s="2">
        <f>'System Parameters'!I43</f>
        <v>0</v>
      </c>
      <c r="T91" s="2">
        <f>'System Parameters'!J43</f>
        <v>0</v>
      </c>
      <c r="U91" s="2">
        <f>'System Parameters'!K43</f>
        <v>0</v>
      </c>
      <c r="V91" s="2">
        <f>'System Parameters'!L43</f>
        <v>0</v>
      </c>
    </row>
    <row r="92" customHeight="1" spans="1:22">
      <c r="A92" s="2" t="str">
        <f>'System Parameters'!L30</f>
        <v>Effective Battery Capacity</v>
      </c>
      <c r="B92" s="2">
        <f>'System Parameters'!M30</f>
        <v>0</v>
      </c>
      <c r="C92" s="2">
        <f>'System Parameters'!N30</f>
        <v>0</v>
      </c>
      <c r="D92" s="2">
        <f>'System Parameters'!O30</f>
        <v>0</v>
      </c>
      <c r="E92" s="2">
        <f>'System Parameters'!P30</f>
        <v>0</v>
      </c>
      <c r="F92" s="2">
        <f>'System Parameters'!Q31</f>
        <v>0</v>
      </c>
      <c r="G92" s="2">
        <f>'System Parameters'!I44</f>
        <v>0</v>
      </c>
      <c r="H92" s="2">
        <f>'System Parameters'!J44</f>
        <v>0</v>
      </c>
      <c r="I92" s="2">
        <f>'System Parameters'!K44</f>
        <v>0</v>
      </c>
      <c r="J92" s="2">
        <f>'System Parameters'!L44</f>
        <v>0</v>
      </c>
      <c r="K92" s="2">
        <f>'System Parameters'!M44</f>
        <v>0</v>
      </c>
      <c r="L92" s="2">
        <f>'System Parameters'!N44</f>
        <v>0</v>
      </c>
      <c r="M92" s="2">
        <f>'System Parameters'!O44</f>
        <v>0</v>
      </c>
      <c r="N92" s="2">
        <f>'System Parameters'!P44</f>
        <v>0</v>
      </c>
      <c r="O92" s="2">
        <f>'System Parameters'!Q44</f>
        <v>0</v>
      </c>
      <c r="P92" s="2">
        <f>'System Parameters'!O30</f>
        <v>0</v>
      </c>
      <c r="Q92" s="2">
        <f>'System Parameters'!P30</f>
        <v>0</v>
      </c>
      <c r="R92" s="2">
        <f>'System Parameters'!Q31</f>
        <v>0</v>
      </c>
      <c r="S92" s="2">
        <f>'System Parameters'!I44</f>
        <v>0</v>
      </c>
      <c r="T92" s="2">
        <f>'System Parameters'!J44</f>
        <v>0</v>
      </c>
      <c r="U92" s="2">
        <f>'System Parameters'!K44</f>
        <v>0</v>
      </c>
      <c r="V92" s="2">
        <f>'System Parameters'!L44</f>
        <v>0</v>
      </c>
    </row>
    <row r="93" customHeight="1" spans="1:22">
      <c r="A93" s="2">
        <f>'System Parameters'!L31</f>
        <v>0</v>
      </c>
      <c r="B93" s="2">
        <f>B80*B81*B82</f>
        <v>11560</v>
      </c>
      <c r="C93" s="2" t="str">
        <f>'System Parameters'!N31</f>
        <v>mW*h</v>
      </c>
      <c r="D93" s="2">
        <f t="shared" ref="D93:O93" si="32">$B93</f>
        <v>11560</v>
      </c>
      <c r="E93" s="2">
        <f t="shared" si="32"/>
        <v>11560</v>
      </c>
      <c r="F93" s="2">
        <f t="shared" si="32"/>
        <v>11560</v>
      </c>
      <c r="G93" s="2">
        <f t="shared" si="32"/>
        <v>11560</v>
      </c>
      <c r="H93" s="2">
        <f t="shared" si="32"/>
        <v>11560</v>
      </c>
      <c r="I93" s="2">
        <f t="shared" si="32"/>
        <v>11560</v>
      </c>
      <c r="J93" s="2">
        <f t="shared" si="32"/>
        <v>11560</v>
      </c>
      <c r="K93" s="2">
        <f t="shared" si="32"/>
        <v>11560</v>
      </c>
      <c r="L93" s="2">
        <f t="shared" si="32"/>
        <v>11560</v>
      </c>
      <c r="M93" s="2">
        <f t="shared" si="32"/>
        <v>11560</v>
      </c>
      <c r="N93" s="2">
        <f t="shared" si="32"/>
        <v>11560</v>
      </c>
      <c r="O93" s="2">
        <f t="shared" si="32"/>
        <v>11560</v>
      </c>
      <c r="P93" s="2">
        <f>'System Parameters'!O31</f>
        <v>0</v>
      </c>
      <c r="Q93" s="2">
        <f>'System Parameters'!P31</f>
        <v>0</v>
      </c>
      <c r="R93" s="2">
        <f>'System Parameters'!Q32</f>
        <v>0</v>
      </c>
      <c r="S93" s="2">
        <f>'System Parameters'!I45</f>
        <v>0</v>
      </c>
      <c r="T93" s="2">
        <f>'System Parameters'!J45</f>
        <v>0</v>
      </c>
      <c r="U93" s="2">
        <f>'System Parameters'!K45</f>
        <v>0</v>
      </c>
      <c r="V93" s="2">
        <f>'System Parameters'!L45</f>
        <v>0</v>
      </c>
    </row>
    <row r="94" customHeight="1" spans="1:22">
      <c r="A94" s="2">
        <f>'System Parameters'!L32</f>
        <v>0</v>
      </c>
      <c r="B94" s="2">
        <f>'System Parameters'!M32</f>
        <v>0</v>
      </c>
      <c r="C94" s="2">
        <f>'System Parameters'!N32</f>
        <v>0</v>
      </c>
      <c r="D94" s="2">
        <f>'System Parameters'!O32</f>
        <v>0</v>
      </c>
      <c r="E94" s="2">
        <f>'System Parameters'!P32</f>
        <v>0</v>
      </c>
      <c r="F94" s="2">
        <f>'System Parameters'!Q33</f>
        <v>0</v>
      </c>
      <c r="G94" s="2">
        <f>'System Parameters'!I46</f>
        <v>0</v>
      </c>
      <c r="H94" s="2">
        <f>'System Parameters'!J46</f>
        <v>0</v>
      </c>
      <c r="I94" s="2">
        <f>'System Parameters'!K46</f>
        <v>0</v>
      </c>
      <c r="J94" s="2">
        <f>'System Parameters'!L46</f>
        <v>0</v>
      </c>
      <c r="K94" s="2">
        <f>'System Parameters'!M46</f>
        <v>0</v>
      </c>
      <c r="L94" s="2">
        <f>'System Parameters'!N46</f>
        <v>0</v>
      </c>
      <c r="M94" s="2">
        <f>'System Parameters'!O46</f>
        <v>0</v>
      </c>
      <c r="N94" s="2">
        <f>'System Parameters'!P46</f>
        <v>0</v>
      </c>
      <c r="O94" s="2">
        <f>'System Parameters'!Q46</f>
        <v>0</v>
      </c>
      <c r="P94" s="2">
        <f>'System Parameters'!O32</f>
        <v>0</v>
      </c>
      <c r="Q94" s="2">
        <f>'System Parameters'!P32</f>
        <v>0</v>
      </c>
      <c r="R94" s="2">
        <f>'System Parameters'!Q33</f>
        <v>0</v>
      </c>
      <c r="S94" s="2">
        <f>'System Parameters'!I46</f>
        <v>0</v>
      </c>
      <c r="T94" s="2">
        <f>'System Parameters'!J46</f>
        <v>0</v>
      </c>
      <c r="U94" s="2">
        <f>'System Parameters'!K46</f>
        <v>0</v>
      </c>
      <c r="V94" s="2">
        <f>'System Parameters'!L46</f>
        <v>0</v>
      </c>
    </row>
    <row r="95" customHeight="1" spans="1:22">
      <c r="A95" s="2" t="str">
        <f>'System Parameters'!L33</f>
        <v>Days of Use</v>
      </c>
      <c r="B95" s="2">
        <f>B93/($T78*B88+$U78*B89+$V78*B90)</f>
        <v>2.14089932587599</v>
      </c>
      <c r="C95" s="2" t="str">
        <f>'System Parameters'!N33</f>
        <v>days</v>
      </c>
      <c r="D95" s="2">
        <f t="shared" ref="D95:O95" si="33">D93/($T78*D88+$U78*D89+$V78*D90)</f>
        <v>2.15353432987079</v>
      </c>
      <c r="E95" s="2">
        <f t="shared" si="33"/>
        <v>2.14327297807409</v>
      </c>
      <c r="F95" s="2">
        <f t="shared" si="33"/>
        <v>2.14089932587599</v>
      </c>
      <c r="G95" s="2">
        <f t="shared" si="33"/>
        <v>2.20627528818994</v>
      </c>
      <c r="H95" s="2">
        <f t="shared" si="33"/>
        <v>2.19955856610092</v>
      </c>
      <c r="I95" s="2">
        <f t="shared" si="33"/>
        <v>2.17309572148282</v>
      </c>
      <c r="J95" s="2">
        <f t="shared" si="33"/>
        <v>2.14089932587599</v>
      </c>
      <c r="K95" s="2">
        <f t="shared" si="33"/>
        <v>2.16846496691028</v>
      </c>
      <c r="L95" s="2">
        <f t="shared" si="33"/>
        <v>2.14089932587599</v>
      </c>
      <c r="M95" s="2">
        <f t="shared" si="33"/>
        <v>2.1465762480224</v>
      </c>
      <c r="N95" s="2">
        <f t="shared" si="33"/>
        <v>2.14920222951844</v>
      </c>
      <c r="O95" s="2">
        <f t="shared" si="33"/>
        <v>2.14667191573756</v>
      </c>
      <c r="P95" s="2">
        <f>'System Parameters'!O33</f>
        <v>0</v>
      </c>
      <c r="Q95" s="2">
        <f>'System Parameters'!P33</f>
        <v>0</v>
      </c>
      <c r="R95" s="2">
        <f>'System Parameters'!Q34</f>
        <v>0</v>
      </c>
      <c r="S95" s="2">
        <f>'System Parameters'!I47</f>
        <v>0</v>
      </c>
      <c r="T95" s="2">
        <f>'System Parameters'!J47</f>
        <v>0</v>
      </c>
      <c r="U95" s="2">
        <f>'System Parameters'!K47</f>
        <v>0</v>
      </c>
      <c r="V95" s="2">
        <f>'System Parameters'!L47</f>
        <v>0</v>
      </c>
    </row>
    <row r="96" customHeight="1" spans="1:22">
      <c r="A96" s="2" t="str">
        <f>'System Parameters'!L34</f>
        <v>Hours of Use</v>
      </c>
      <c r="B96" s="2">
        <f>B95*24</f>
        <v>51.3815838210238</v>
      </c>
      <c r="C96" s="2" t="str">
        <f>'System Parameters'!N34</f>
        <v>hours</v>
      </c>
      <c r="D96" s="2">
        <f t="shared" ref="D96:O96" si="34">D95*24</f>
        <v>51.6848239168989</v>
      </c>
      <c r="E96" s="2">
        <f t="shared" si="34"/>
        <v>51.4385514737783</v>
      </c>
      <c r="F96" s="2">
        <f t="shared" si="34"/>
        <v>51.3815838210238</v>
      </c>
      <c r="G96" s="2">
        <f t="shared" si="34"/>
        <v>52.9506069165585</v>
      </c>
      <c r="H96" s="2">
        <f t="shared" si="34"/>
        <v>52.7894055864221</v>
      </c>
      <c r="I96" s="2">
        <f t="shared" si="34"/>
        <v>52.1542973155876</v>
      </c>
      <c r="J96" s="2">
        <f t="shared" si="34"/>
        <v>51.3815838210238</v>
      </c>
      <c r="K96" s="2">
        <f t="shared" si="34"/>
        <v>52.0431592058466</v>
      </c>
      <c r="L96" s="2">
        <f t="shared" si="34"/>
        <v>51.3815838210238</v>
      </c>
      <c r="M96" s="2">
        <f t="shared" si="34"/>
        <v>51.5178299525377</v>
      </c>
      <c r="N96" s="2">
        <f t="shared" si="34"/>
        <v>51.5808535084425</v>
      </c>
      <c r="O96" s="2">
        <f t="shared" si="34"/>
        <v>51.5201259777014</v>
      </c>
      <c r="P96" s="2">
        <f>'System Parameters'!O34</f>
        <v>0</v>
      </c>
      <c r="Q96" s="2">
        <f>'System Parameters'!P34</f>
        <v>0</v>
      </c>
      <c r="R96" s="2">
        <f>'System Parameters'!Q35</f>
        <v>0</v>
      </c>
      <c r="S96" s="2">
        <f>'System Parameters'!I48</f>
        <v>0</v>
      </c>
      <c r="T96" s="2">
        <f>'System Parameters'!J48</f>
        <v>0</v>
      </c>
      <c r="U96" s="2">
        <f>'System Parameters'!K48</f>
        <v>0</v>
      </c>
      <c r="V96" s="2">
        <f>'System Parameters'!L48</f>
        <v>0</v>
      </c>
    </row>
    <row r="97" customHeight="1" spans="1:22">
      <c r="A97" s="2">
        <f>'System Parameters'!A49</f>
        <v>0</v>
      </c>
      <c r="B97" s="2">
        <f>'System Parameters'!K36</f>
        <v>0</v>
      </c>
      <c r="C97" s="2">
        <f>'System Parameters'!L36</f>
        <v>0</v>
      </c>
      <c r="D97" s="2">
        <f>'System Parameters'!M36</f>
        <v>0</v>
      </c>
      <c r="O97" s="2">
        <f>'System Parameters'!N36</f>
        <v>0</v>
      </c>
      <c r="P97" s="2">
        <f>'System Parameters'!O36</f>
        <v>0</v>
      </c>
      <c r="Q97" s="2">
        <f>'System Parameters'!P36</f>
        <v>0</v>
      </c>
      <c r="R97" s="2">
        <f>'System Parameters'!Q36</f>
        <v>0</v>
      </c>
      <c r="S97" s="2">
        <f>'System Parameters'!I49</f>
        <v>0</v>
      </c>
      <c r="T97" s="2">
        <f>'System Parameters'!J49</f>
        <v>0</v>
      </c>
      <c r="U97" s="2">
        <f>'System Parameters'!K49</f>
        <v>0</v>
      </c>
      <c r="V97" s="2">
        <f>'System Parameters'!L49</f>
        <v>0</v>
      </c>
    </row>
    <row r="98" customHeight="1" spans="1:22">
      <c r="A98" s="1" t="s">
        <v>42</v>
      </c>
      <c r="B98" s="2">
        <f>'System Parameters'!K37</f>
        <v>0</v>
      </c>
      <c r="C98" s="2">
        <f>'System Parameters'!L37</f>
        <v>0</v>
      </c>
      <c r="D98" s="5">
        <f t="shared" ref="D98:O98" si="35">D96/$B96-1</f>
        <v>0.00590172729846938</v>
      </c>
      <c r="E98" s="5">
        <f t="shared" si="35"/>
        <v>0.00110871733640838</v>
      </c>
      <c r="F98" s="5">
        <f t="shared" si="35"/>
        <v>0</v>
      </c>
      <c r="G98" s="5">
        <f t="shared" si="35"/>
        <v>0.0305366821894799</v>
      </c>
      <c r="H98" s="5">
        <f t="shared" si="35"/>
        <v>0.0273993454600805</v>
      </c>
      <c r="I98" s="5">
        <f t="shared" si="35"/>
        <v>0.0150387247161439</v>
      </c>
      <c r="J98" s="5">
        <f t="shared" si="35"/>
        <v>0</v>
      </c>
      <c r="K98" s="5">
        <f t="shared" si="35"/>
        <v>0.0128757296997164</v>
      </c>
      <c r="L98" s="5">
        <f t="shared" si="35"/>
        <v>0</v>
      </c>
      <c r="M98" s="5">
        <f t="shared" si="35"/>
        <v>0.00265165301226311</v>
      </c>
      <c r="N98" s="5">
        <f t="shared" si="35"/>
        <v>0.00387823170482293</v>
      </c>
      <c r="O98" s="5">
        <f t="shared" si="35"/>
        <v>0.00269633877305431</v>
      </c>
      <c r="P98" s="2">
        <f>'System Parameters'!O37</f>
        <v>0</v>
      </c>
      <c r="Q98" s="2">
        <f>'System Parameters'!P37</f>
        <v>0</v>
      </c>
      <c r="R98" s="2">
        <f>'System Parameters'!Q37</f>
        <v>0</v>
      </c>
      <c r="S98" s="2">
        <f>'System Parameters'!I50</f>
        <v>0</v>
      </c>
      <c r="T98" s="2">
        <f>'System Parameters'!J50</f>
        <v>0</v>
      </c>
      <c r="U98" s="2">
        <f>'System Parameters'!K50</f>
        <v>0</v>
      </c>
      <c r="V98" s="2">
        <f>'System Parameters'!L50</f>
        <v>0</v>
      </c>
    </row>
    <row r="99" customHeight="1" spans="1:22">
      <c r="A99" s="1" t="s">
        <v>43</v>
      </c>
      <c r="B99" s="2">
        <f>'System Parameters'!K38</f>
        <v>0</v>
      </c>
      <c r="C99" s="2">
        <f>'System Parameters'!L38</f>
        <v>0</v>
      </c>
      <c r="D99" s="1" t="s">
        <v>44</v>
      </c>
      <c r="E99" s="1" t="s">
        <v>45</v>
      </c>
      <c r="F99" s="1" t="s">
        <v>46</v>
      </c>
      <c r="G99" s="1" t="s">
        <v>47</v>
      </c>
      <c r="H99" s="1" t="s">
        <v>48</v>
      </c>
      <c r="I99" s="1" t="s">
        <v>49</v>
      </c>
      <c r="J99" s="1" t="s">
        <v>50</v>
      </c>
      <c r="K99" s="1" t="s">
        <v>51</v>
      </c>
      <c r="L99" s="1" t="s">
        <v>52</v>
      </c>
      <c r="M99" s="1" t="s">
        <v>53</v>
      </c>
      <c r="N99" s="1" t="s">
        <v>54</v>
      </c>
      <c r="O99" s="1" t="s">
        <v>55</v>
      </c>
      <c r="P99" s="2">
        <f>'System Parameters'!O38</f>
        <v>0</v>
      </c>
      <c r="Q99" s="2">
        <f>'System Parameters'!P38</f>
        <v>0</v>
      </c>
      <c r="R99" s="2">
        <f>'System Parameters'!Q38</f>
        <v>0</v>
      </c>
      <c r="S99" s="2">
        <f>'System Parameters'!I51</f>
        <v>0</v>
      </c>
      <c r="T99" s="2">
        <f>'System Parameters'!J51</f>
        <v>0</v>
      </c>
      <c r="U99" s="2">
        <f>'System Parameters'!K51</f>
        <v>0</v>
      </c>
      <c r="V99" s="2">
        <f>'System Parameters'!L51</f>
        <v>0</v>
      </c>
    </row>
    <row r="100" customHeight="1" spans="1:22">
      <c r="A100" s="2">
        <f>'System Parameters'!A52</f>
        <v>0</v>
      </c>
      <c r="B100" s="2">
        <f>'System Parameters'!B52</f>
        <v>0</v>
      </c>
      <c r="C100" s="2">
        <f>'System Parameters'!C52</f>
        <v>0</v>
      </c>
      <c r="D100" s="2">
        <f>'System Parameters'!D52</f>
        <v>0</v>
      </c>
      <c r="O100" s="2">
        <f>'System Parameters'!E52</f>
        <v>0</v>
      </c>
      <c r="P100" s="2">
        <f>'System Parameters'!F52</f>
        <v>0</v>
      </c>
      <c r="Q100" s="2">
        <f>'System Parameters'!G52</f>
        <v>0</v>
      </c>
      <c r="R100" s="2">
        <f>'System Parameters'!H52</f>
        <v>0</v>
      </c>
      <c r="S100" s="2">
        <f>'System Parameters'!I52</f>
        <v>0</v>
      </c>
      <c r="T100" s="2">
        <f>'System Parameters'!J52</f>
        <v>0</v>
      </c>
      <c r="U100" s="2">
        <f>'System Parameters'!K52</f>
        <v>0</v>
      </c>
      <c r="V100" s="2">
        <f>'System Parameters'!L52</f>
        <v>0</v>
      </c>
    </row>
    <row r="101" customHeight="1" spans="1:22">
      <c r="A101" s="2">
        <f>'System Parameters'!A53</f>
        <v>0</v>
      </c>
      <c r="B101" s="2">
        <f>'System Parameters'!B53</f>
        <v>0</v>
      </c>
      <c r="C101" s="2">
        <f>'System Parameters'!C53</f>
        <v>0</v>
      </c>
      <c r="D101" s="2">
        <f>'System Parameters'!D53</f>
        <v>0</v>
      </c>
      <c r="O101" s="2">
        <f>'System Parameters'!E53</f>
        <v>0</v>
      </c>
      <c r="P101" s="2">
        <f>'System Parameters'!F53</f>
        <v>0</v>
      </c>
      <c r="Q101" s="2">
        <f>'System Parameters'!G53</f>
        <v>0</v>
      </c>
      <c r="R101" s="2">
        <f>'System Parameters'!H53</f>
        <v>0</v>
      </c>
      <c r="S101" s="2">
        <f>'System Parameters'!I53</f>
        <v>0</v>
      </c>
      <c r="T101" s="2">
        <f>'System Parameters'!J53</f>
        <v>0</v>
      </c>
      <c r="U101" s="2">
        <f>'System Parameters'!K53</f>
        <v>0</v>
      </c>
      <c r="V101" s="2">
        <f>'System Parameters'!L53</f>
        <v>0</v>
      </c>
    </row>
    <row r="102" customHeight="1" spans="1:22">
      <c r="A102" s="2">
        <f>'System Parameters'!A54</f>
        <v>0</v>
      </c>
      <c r="B102" s="2">
        <f>'System Parameters'!B54</f>
        <v>0</v>
      </c>
      <c r="C102" s="2">
        <f>'System Parameters'!C54</f>
        <v>0</v>
      </c>
      <c r="D102" s="2">
        <f>'System Parameters'!D54</f>
        <v>0</v>
      </c>
      <c r="O102" s="2">
        <f>'System Parameters'!E54</f>
        <v>0</v>
      </c>
      <c r="P102" s="2">
        <f>'System Parameters'!F54</f>
        <v>0</v>
      </c>
      <c r="Q102" s="2">
        <f>'System Parameters'!G54</f>
        <v>0</v>
      </c>
      <c r="R102" s="2">
        <f>'System Parameters'!H54</f>
        <v>0</v>
      </c>
      <c r="S102" s="2">
        <f>'System Parameters'!I54</f>
        <v>0</v>
      </c>
      <c r="T102" s="2">
        <f>'System Parameters'!J54</f>
        <v>0</v>
      </c>
      <c r="U102" s="2">
        <f>'System Parameters'!K54</f>
        <v>0</v>
      </c>
      <c r="V102" s="2">
        <f>'System Parameters'!L54</f>
        <v>0</v>
      </c>
    </row>
    <row r="103" customHeight="1" spans="1:22">
      <c r="A103" s="2">
        <f>'System Parameters'!A55</f>
        <v>0</v>
      </c>
      <c r="B103" s="2">
        <f>'System Parameters'!B55</f>
        <v>0</v>
      </c>
      <c r="C103" s="2">
        <f>'System Parameters'!C55</f>
        <v>0</v>
      </c>
      <c r="D103" s="2">
        <f>'System Parameters'!D55</f>
        <v>0</v>
      </c>
      <c r="O103" s="2">
        <f>'System Parameters'!E55</f>
        <v>0</v>
      </c>
      <c r="P103" s="2">
        <f>'System Parameters'!F55</f>
        <v>0</v>
      </c>
      <c r="Q103" s="2">
        <f>'System Parameters'!G55</f>
        <v>0</v>
      </c>
      <c r="R103" s="2">
        <f>'System Parameters'!H55</f>
        <v>0</v>
      </c>
      <c r="S103" s="2">
        <f>'System Parameters'!I55</f>
        <v>0</v>
      </c>
      <c r="T103" s="2">
        <f>'System Parameters'!J55</f>
        <v>0</v>
      </c>
      <c r="U103" s="2">
        <f>'System Parameters'!K55</f>
        <v>0</v>
      </c>
      <c r="V103" s="2">
        <f>'System Parameters'!L55</f>
        <v>0</v>
      </c>
    </row>
    <row r="104" customHeight="1" spans="1:22">
      <c r="A104" s="2">
        <f>'System Parameters'!A56</f>
        <v>0</v>
      </c>
      <c r="B104" s="2">
        <f>'System Parameters'!B56</f>
        <v>0</v>
      </c>
      <c r="C104" s="2">
        <f>'System Parameters'!C56</f>
        <v>0</v>
      </c>
      <c r="D104" s="2">
        <f>'System Parameters'!D56</f>
        <v>0</v>
      </c>
      <c r="O104" s="2">
        <f>'System Parameters'!E56</f>
        <v>0</v>
      </c>
      <c r="P104" s="2">
        <f>'System Parameters'!F56</f>
        <v>0</v>
      </c>
      <c r="Q104" s="2">
        <f>'System Parameters'!G56</f>
        <v>0</v>
      </c>
      <c r="R104" s="2">
        <f>'System Parameters'!H56</f>
        <v>0</v>
      </c>
      <c r="S104" s="2">
        <f>'System Parameters'!I56</f>
        <v>0</v>
      </c>
      <c r="T104" s="2">
        <f>'System Parameters'!J56</f>
        <v>0</v>
      </c>
      <c r="U104" s="2">
        <f>'System Parameters'!K56</f>
        <v>0</v>
      </c>
      <c r="V104" s="2">
        <f>'System Parameters'!L56</f>
        <v>0</v>
      </c>
    </row>
    <row r="105" customHeight="1" spans="1:22">
      <c r="A105" s="2">
        <f>'System Parameters'!A57</f>
        <v>0</v>
      </c>
      <c r="B105" s="2">
        <f>'System Parameters'!B57</f>
        <v>0</v>
      </c>
      <c r="C105" s="2">
        <f>'System Parameters'!C57</f>
        <v>0</v>
      </c>
      <c r="D105" s="2">
        <f>'System Parameters'!D57</f>
        <v>0</v>
      </c>
      <c r="O105" s="2">
        <f>'System Parameters'!E57</f>
        <v>0</v>
      </c>
      <c r="P105" s="2">
        <f>'System Parameters'!F57</f>
        <v>0</v>
      </c>
      <c r="Q105" s="2">
        <f>'System Parameters'!G57</f>
        <v>0</v>
      </c>
      <c r="R105" s="2">
        <f>'System Parameters'!H57</f>
        <v>0</v>
      </c>
      <c r="S105" s="2">
        <f>'System Parameters'!I57</f>
        <v>0</v>
      </c>
      <c r="T105" s="2">
        <f>'System Parameters'!J57</f>
        <v>0</v>
      </c>
      <c r="U105" s="2">
        <f>'System Parameters'!K57</f>
        <v>0</v>
      </c>
      <c r="V105" s="2">
        <f>'System Parameters'!L57</f>
        <v>0</v>
      </c>
    </row>
    <row r="106" customHeight="1" spans="1:22">
      <c r="A106" s="2">
        <f>'System Parameters'!A58</f>
        <v>0</v>
      </c>
      <c r="B106" s="2">
        <f>'System Parameters'!B58</f>
        <v>0</v>
      </c>
      <c r="C106" s="2">
        <f>'System Parameters'!C58</f>
        <v>0</v>
      </c>
      <c r="D106" s="2">
        <f>'System Parameters'!D58</f>
        <v>0</v>
      </c>
      <c r="O106" s="2">
        <f>'System Parameters'!E58</f>
        <v>0</v>
      </c>
      <c r="P106" s="2">
        <f>'System Parameters'!F58</f>
        <v>0</v>
      </c>
      <c r="Q106" s="2">
        <f>'System Parameters'!G58</f>
        <v>0</v>
      </c>
      <c r="R106" s="2">
        <f>'System Parameters'!H58</f>
        <v>0</v>
      </c>
      <c r="S106" s="2">
        <f>'System Parameters'!I58</f>
        <v>0</v>
      </c>
      <c r="T106" s="2">
        <f>'System Parameters'!J58</f>
        <v>0</v>
      </c>
      <c r="U106" s="2">
        <f>'System Parameters'!K58</f>
        <v>0</v>
      </c>
      <c r="V106" s="2">
        <f>'System Parameters'!L58</f>
        <v>0</v>
      </c>
    </row>
    <row r="107" customHeight="1" spans="1:22">
      <c r="A107" s="2">
        <f>'System Parameters'!A59</f>
        <v>0</v>
      </c>
      <c r="B107" s="2">
        <f>'System Parameters'!B59</f>
        <v>0</v>
      </c>
      <c r="C107" s="2">
        <f>'System Parameters'!C59</f>
        <v>0</v>
      </c>
      <c r="D107" s="2">
        <f>'System Parameters'!D59</f>
        <v>0</v>
      </c>
      <c r="O107" s="2">
        <f>'System Parameters'!E59</f>
        <v>0</v>
      </c>
      <c r="P107" s="2">
        <f>'System Parameters'!F59</f>
        <v>0</v>
      </c>
      <c r="Q107" s="2">
        <f>'System Parameters'!G59</f>
        <v>0</v>
      </c>
      <c r="R107" s="2">
        <f>'System Parameters'!H59</f>
        <v>0</v>
      </c>
      <c r="S107" s="2">
        <f>'System Parameters'!I59</f>
        <v>0</v>
      </c>
      <c r="T107" s="2">
        <f>'System Parameters'!J59</f>
        <v>0</v>
      </c>
      <c r="U107" s="2">
        <f>'System Parameters'!K59</f>
        <v>0</v>
      </c>
      <c r="V107" s="2">
        <f>'System Parameters'!L59</f>
        <v>0</v>
      </c>
    </row>
    <row r="108" customHeight="1" spans="1:22">
      <c r="A108" s="2">
        <f>'System Parameters'!A60</f>
        <v>0</v>
      </c>
      <c r="B108" s="2">
        <f>'System Parameters'!B60</f>
        <v>0</v>
      </c>
      <c r="C108" s="2">
        <f>'System Parameters'!C60</f>
        <v>0</v>
      </c>
      <c r="D108" s="2">
        <f>'System Parameters'!D60</f>
        <v>0</v>
      </c>
      <c r="O108" s="2">
        <f>'System Parameters'!E60</f>
        <v>0</v>
      </c>
      <c r="P108" s="2">
        <f>'System Parameters'!F60</f>
        <v>0</v>
      </c>
      <c r="Q108" s="2">
        <f>'System Parameters'!G60</f>
        <v>0</v>
      </c>
      <c r="R108" s="2">
        <f>'System Parameters'!H60</f>
        <v>0</v>
      </c>
      <c r="S108" s="2">
        <f>'System Parameters'!I60</f>
        <v>0</v>
      </c>
      <c r="T108" s="2">
        <f>'System Parameters'!J60</f>
        <v>0</v>
      </c>
      <c r="U108" s="2">
        <f>'System Parameters'!K60</f>
        <v>0</v>
      </c>
      <c r="V108" s="2">
        <f>'System Parameters'!L60</f>
        <v>0</v>
      </c>
    </row>
    <row r="109" customHeight="1" spans="1:22">
      <c r="A109" s="2">
        <f>'System Parameters'!A61</f>
        <v>0</v>
      </c>
      <c r="B109" s="2">
        <f>'System Parameters'!B61</f>
        <v>0</v>
      </c>
      <c r="C109" s="2">
        <f>'System Parameters'!C61</f>
        <v>0</v>
      </c>
      <c r="D109" s="2">
        <f>'System Parameters'!D61</f>
        <v>0</v>
      </c>
      <c r="O109" s="2">
        <f>'System Parameters'!E61</f>
        <v>0</v>
      </c>
      <c r="P109" s="2">
        <f>'System Parameters'!F61</f>
        <v>0</v>
      </c>
      <c r="Q109" s="2">
        <f>'System Parameters'!G61</f>
        <v>0</v>
      </c>
      <c r="R109" s="2">
        <f>'System Parameters'!H61</f>
        <v>0</v>
      </c>
      <c r="S109" s="2">
        <f>'System Parameters'!I61</f>
        <v>0</v>
      </c>
      <c r="T109" s="2">
        <f>'System Parameters'!J61</f>
        <v>0</v>
      </c>
      <c r="U109" s="2">
        <f>'System Parameters'!K61</f>
        <v>0</v>
      </c>
      <c r="V109" s="2">
        <f>'System Parameters'!L61</f>
        <v>0</v>
      </c>
    </row>
    <row r="110" customHeight="1" spans="1:22">
      <c r="A110" s="2">
        <f>'System Parameters'!A62</f>
        <v>0</v>
      </c>
      <c r="B110" s="2">
        <f>'System Parameters'!B62</f>
        <v>0</v>
      </c>
      <c r="C110" s="2">
        <f>'System Parameters'!C62</f>
        <v>0</v>
      </c>
      <c r="D110" s="2">
        <f>'System Parameters'!D62</f>
        <v>0</v>
      </c>
      <c r="O110" s="2">
        <f>'System Parameters'!E62</f>
        <v>0</v>
      </c>
      <c r="P110" s="2">
        <f>'System Parameters'!F62</f>
        <v>0</v>
      </c>
      <c r="Q110" s="2">
        <f>'System Parameters'!G62</f>
        <v>0</v>
      </c>
      <c r="R110" s="2">
        <f>'System Parameters'!H62</f>
        <v>0</v>
      </c>
      <c r="S110" s="2">
        <f>'System Parameters'!I62</f>
        <v>0</v>
      </c>
      <c r="T110" s="2">
        <f>'System Parameters'!J62</f>
        <v>0</v>
      </c>
      <c r="U110" s="2">
        <f>'System Parameters'!K62</f>
        <v>0</v>
      </c>
      <c r="V110" s="2">
        <f>'System Parameters'!L62</f>
        <v>0</v>
      </c>
    </row>
    <row r="111" customHeight="1" spans="1:22">
      <c r="A111" s="2">
        <f>'System Parameters'!A63</f>
        <v>0</v>
      </c>
      <c r="B111" s="2">
        <f>'System Parameters'!B63</f>
        <v>0</v>
      </c>
      <c r="C111" s="2">
        <f>'System Parameters'!C63</f>
        <v>0</v>
      </c>
      <c r="D111" s="2">
        <f>'System Parameters'!D63</f>
        <v>0</v>
      </c>
      <c r="O111" s="2">
        <f>'System Parameters'!E63</f>
        <v>0</v>
      </c>
      <c r="P111" s="2">
        <f>'System Parameters'!F63</f>
        <v>0</v>
      </c>
      <c r="Q111" s="2">
        <f>'System Parameters'!G63</f>
        <v>0</v>
      </c>
      <c r="R111" s="2">
        <f>'System Parameters'!H63</f>
        <v>0</v>
      </c>
      <c r="S111" s="2">
        <f>'System Parameters'!I63</f>
        <v>0</v>
      </c>
      <c r="T111" s="2">
        <f>'System Parameters'!J63</f>
        <v>0</v>
      </c>
      <c r="U111" s="2">
        <f>'System Parameters'!K63</f>
        <v>0</v>
      </c>
      <c r="V111" s="2">
        <f>'System Parameters'!L63</f>
        <v>0</v>
      </c>
    </row>
    <row r="112" customHeight="1" spans="1:22">
      <c r="A112" s="2">
        <f>'System Parameters'!A64</f>
        <v>0</v>
      </c>
      <c r="B112" s="2">
        <f>'System Parameters'!B64</f>
        <v>0</v>
      </c>
      <c r="C112" s="2">
        <f>'System Parameters'!C64</f>
        <v>0</v>
      </c>
      <c r="D112" s="2">
        <f>'System Parameters'!D64</f>
        <v>0</v>
      </c>
      <c r="O112" s="2">
        <f>'System Parameters'!E64</f>
        <v>0</v>
      </c>
      <c r="P112" s="2">
        <f>'System Parameters'!F64</f>
        <v>0</v>
      </c>
      <c r="Q112" s="2">
        <f>'System Parameters'!G64</f>
        <v>0</v>
      </c>
      <c r="R112" s="2">
        <f>'System Parameters'!H64</f>
        <v>0</v>
      </c>
      <c r="S112" s="2">
        <f>'System Parameters'!I64</f>
        <v>0</v>
      </c>
      <c r="T112" s="2">
        <f>'System Parameters'!J64</f>
        <v>0</v>
      </c>
      <c r="U112" s="2">
        <f>'System Parameters'!K64</f>
        <v>0</v>
      </c>
      <c r="V112" s="2">
        <f>'System Parameters'!L64</f>
        <v>0</v>
      </c>
    </row>
    <row r="113" customHeight="1" spans="1:22">
      <c r="A113" s="2">
        <f>'System Parameters'!A65</f>
        <v>0</v>
      </c>
      <c r="B113" s="2">
        <f>'System Parameters'!B65</f>
        <v>0</v>
      </c>
      <c r="C113" s="2">
        <f>'System Parameters'!C65</f>
        <v>0</v>
      </c>
      <c r="D113" s="2">
        <f>'System Parameters'!D65</f>
        <v>0</v>
      </c>
      <c r="O113" s="2">
        <f>'System Parameters'!E65</f>
        <v>0</v>
      </c>
      <c r="P113" s="2">
        <f>'System Parameters'!F65</f>
        <v>0</v>
      </c>
      <c r="Q113" s="2">
        <f>'System Parameters'!G65</f>
        <v>0</v>
      </c>
      <c r="R113" s="2">
        <f>'System Parameters'!H65</f>
        <v>0</v>
      </c>
      <c r="S113" s="2">
        <f>'System Parameters'!I65</f>
        <v>0</v>
      </c>
      <c r="T113" s="2">
        <f>'System Parameters'!J65</f>
        <v>0</v>
      </c>
      <c r="U113" s="2">
        <f>'System Parameters'!K65</f>
        <v>0</v>
      </c>
      <c r="V113" s="2">
        <f>'System Parameters'!L65</f>
        <v>0</v>
      </c>
    </row>
    <row r="114" customHeight="1" spans="1:22">
      <c r="A114" s="2">
        <f>'System Parameters'!A66</f>
        <v>0</v>
      </c>
      <c r="B114" s="2">
        <f>'System Parameters'!B66</f>
        <v>0</v>
      </c>
      <c r="C114" s="2">
        <f>'System Parameters'!C66</f>
        <v>0</v>
      </c>
      <c r="D114" s="2">
        <f>'System Parameters'!D66</f>
        <v>0</v>
      </c>
      <c r="O114" s="2">
        <f>'System Parameters'!E66</f>
        <v>0</v>
      </c>
      <c r="P114" s="2">
        <f>'System Parameters'!F66</f>
        <v>0</v>
      </c>
      <c r="Q114" s="2">
        <f>'System Parameters'!G66</f>
        <v>0</v>
      </c>
      <c r="R114" s="2">
        <f>'System Parameters'!H66</f>
        <v>0</v>
      </c>
      <c r="S114" s="2">
        <f>'System Parameters'!I66</f>
        <v>0</v>
      </c>
      <c r="T114" s="2">
        <f>'System Parameters'!J66</f>
        <v>0</v>
      </c>
      <c r="U114" s="2">
        <f>'System Parameters'!K66</f>
        <v>0</v>
      </c>
      <c r="V114" s="2">
        <f>'System Parameters'!L66</f>
        <v>0</v>
      </c>
    </row>
    <row r="115" customHeight="1" spans="1:22">
      <c r="A115" s="2">
        <f>'System Parameters'!A67</f>
        <v>0</v>
      </c>
      <c r="B115" s="2">
        <f>'System Parameters'!B67</f>
        <v>0</v>
      </c>
      <c r="C115" s="2">
        <f>'System Parameters'!C67</f>
        <v>0</v>
      </c>
      <c r="D115" s="2">
        <f>'System Parameters'!D67</f>
        <v>0</v>
      </c>
      <c r="O115" s="2">
        <f>'System Parameters'!E67</f>
        <v>0</v>
      </c>
      <c r="P115" s="2">
        <f>'System Parameters'!F67</f>
        <v>0</v>
      </c>
      <c r="Q115" s="2">
        <f>'System Parameters'!G67</f>
        <v>0</v>
      </c>
      <c r="R115" s="2">
        <f>'System Parameters'!H67</f>
        <v>0</v>
      </c>
      <c r="S115" s="2">
        <f>'System Parameters'!I67</f>
        <v>0</v>
      </c>
      <c r="T115" s="2">
        <f>'System Parameters'!J67</f>
        <v>0</v>
      </c>
      <c r="U115" s="2">
        <f>'System Parameters'!K67</f>
        <v>0</v>
      </c>
      <c r="V115" s="2">
        <f>'System Parameters'!L67</f>
        <v>0</v>
      </c>
    </row>
    <row r="116" customHeight="1" spans="1:22">
      <c r="A116" s="2">
        <f>'System Parameters'!A68</f>
        <v>0</v>
      </c>
      <c r="B116" s="2">
        <f>'System Parameters'!B68</f>
        <v>0</v>
      </c>
      <c r="C116" s="2">
        <f>'System Parameters'!C68</f>
        <v>0</v>
      </c>
      <c r="D116" s="2">
        <f>'System Parameters'!D68</f>
        <v>0</v>
      </c>
      <c r="O116" s="2">
        <f>'System Parameters'!E68</f>
        <v>0</v>
      </c>
      <c r="P116" s="2">
        <f>'System Parameters'!F68</f>
        <v>0</v>
      </c>
      <c r="Q116" s="2">
        <f>'System Parameters'!G68</f>
        <v>0</v>
      </c>
      <c r="R116" s="2">
        <f>'System Parameters'!H68</f>
        <v>0</v>
      </c>
      <c r="S116" s="2">
        <f>'System Parameters'!I68</f>
        <v>0</v>
      </c>
      <c r="T116" s="2">
        <f>'System Parameters'!J68</f>
        <v>0</v>
      </c>
      <c r="U116" s="2">
        <f>'System Parameters'!K68</f>
        <v>0</v>
      </c>
      <c r="V116" s="2">
        <f>'System Parameters'!L68</f>
        <v>0</v>
      </c>
    </row>
    <row r="117" customHeight="1" spans="1:22">
      <c r="A117" s="2">
        <f>'System Parameters'!A69</f>
        <v>0</v>
      </c>
      <c r="B117" s="2">
        <f>'System Parameters'!B69</f>
        <v>0</v>
      </c>
      <c r="C117" s="2">
        <f>'System Parameters'!C69</f>
        <v>0</v>
      </c>
      <c r="D117" s="2">
        <f>'System Parameters'!D69</f>
        <v>0</v>
      </c>
      <c r="O117" s="2">
        <f>'System Parameters'!E69</f>
        <v>0</v>
      </c>
      <c r="P117" s="2">
        <f>'System Parameters'!F69</f>
        <v>0</v>
      </c>
      <c r="Q117" s="2">
        <f>'System Parameters'!G69</f>
        <v>0</v>
      </c>
      <c r="R117" s="2">
        <f>'System Parameters'!H69</f>
        <v>0</v>
      </c>
      <c r="S117" s="2">
        <f>'System Parameters'!I69</f>
        <v>0</v>
      </c>
      <c r="T117" s="2">
        <f>'System Parameters'!J69</f>
        <v>0</v>
      </c>
      <c r="U117" s="2">
        <f>'System Parameters'!K69</f>
        <v>0</v>
      </c>
      <c r="V117" s="2">
        <f>'System Parameters'!L69</f>
        <v>0</v>
      </c>
    </row>
    <row r="118" customHeight="1" spans="1:22">
      <c r="A118" s="2">
        <f>'System Parameters'!A70</f>
        <v>0</v>
      </c>
      <c r="B118" s="2">
        <f>'System Parameters'!B70</f>
        <v>0</v>
      </c>
      <c r="C118" s="2">
        <f>'System Parameters'!C70</f>
        <v>0</v>
      </c>
      <c r="D118" s="2">
        <f>'System Parameters'!D70</f>
        <v>0</v>
      </c>
      <c r="O118" s="2">
        <f>'System Parameters'!E70</f>
        <v>0</v>
      </c>
      <c r="P118" s="2">
        <f>'System Parameters'!F70</f>
        <v>0</v>
      </c>
      <c r="Q118" s="2">
        <f>'System Parameters'!G70</f>
        <v>0</v>
      </c>
      <c r="R118" s="2">
        <f>'System Parameters'!H70</f>
        <v>0</v>
      </c>
      <c r="S118" s="2">
        <f>'System Parameters'!I70</f>
        <v>0</v>
      </c>
      <c r="T118" s="2">
        <f>'System Parameters'!J70</f>
        <v>0</v>
      </c>
      <c r="U118" s="2">
        <f>'System Parameters'!K70</f>
        <v>0</v>
      </c>
      <c r="V118" s="2">
        <f>'System Parameters'!L70</f>
        <v>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System Parameters</vt:lpstr>
      <vt:lpstr>Sensitivity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limengting</cp:lastModifiedBy>
  <dcterms:created xsi:type="dcterms:W3CDTF">2026-02-05T06:18:00Z</dcterms:created>
  <dcterms:modified xsi:type="dcterms:W3CDTF">2026-02-05T23:33:16Z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3D2A26548EDA6644998D85694AE6B4A6_42</vt:lpwstr>
  </property>
  <property fmtid="{D5CDD505-2E9C-101B-9397-08002B2CF9AE}" pid="3" name="KSOProductBuildVer">
    <vt:lpwstr>1033-6.14.0.8924</vt:lpwstr>
  </property>
</Properties>
</file>