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240"/>
  </bookViews>
  <sheets>
    <sheet name="System Parameters" sheetId="1" r:id="rId1"/>
    <sheet name="Sensitivity Analy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<sst xmlns="http://schemas.openxmlformats.org/spreadsheetml/2006/main" count="76" uniqueCount="56">
  <si>
    <t>Sensor Device</t>
  </si>
  <si>
    <t>System Parameters (defined by hardware)</t>
  </si>
  <si>
    <t>Profiles (usage of each component mode - defined by software and usage)</t>
  </si>
  <si>
    <t>form the datasheets</t>
  </si>
  <si>
    <t>"off"</t>
  </si>
  <si>
    <t>"sensing"</t>
  </si>
  <si>
    <t>"interactive"</t>
  </si>
  <si>
    <t>Processor</t>
  </si>
  <si>
    <t>Active</t>
  </si>
  <si>
    <t>mW</t>
  </si>
  <si>
    <t>Idle</t>
  </si>
  <si>
    <t>Sleep</t>
  </si>
  <si>
    <t>LED</t>
  </si>
  <si>
    <t>On</t>
  </si>
  <si>
    <t>Sensor</t>
  </si>
  <si>
    <t>Off</t>
  </si>
  <si>
    <t>Display</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</si>
  <si>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</si>
  <si>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</si>
  <si>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</si>
  <si>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</si>
  <si>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</si>
  <si>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</si>
  <si>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</si>
  <si>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</si>
  <si>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</si>
  <si>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</si>
  <si>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</si>
  <si>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</si>
  <si>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</si>
  <si>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</si>
  <si>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</si>
  <si>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</si>
  <si>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</si>
  <si>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</si>
  <si>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</si>
  <si>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</si>
  <si>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</si>
  <si>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</si>
  <si>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REFLECTIONS : WHAT DID YOU LEARN FROM ANALYZING YOUR POWER.  TALK ABOUT SOME POTENTIAL TRADEOFFS. </t>
  </si>
  <si>
    <t>The "days of use" metric was calculated by dividing the effective battery capacity (500mAh × 3.7V × 0.9 efficiency = 1665 mWh) by the weighted daily energy consumption across three profiles: 12 hours off (0.15 mW), 8 hours sensing (35.5 mW), and 4 hours interactive (180.5 mW), yielding approximately 1.65 days per charge. The current 500mAh LiPo battery is borderline for daily use — a 1000mAh cell would provide a comfortable 3+ day buffer and is still small enough for a handheld sensor device. The dominant power consumer is the WiFi/BLE radio during interactive mode (148.5 mW TX), which accounts for over 80% of the interactive profile's power budget. A key software tradeoff would be reducing BLE transmission frequency — batching sensor readings and sending them every 30 seconds instead of continuously could cut radio active time significantly with minimal impact on user experience. On the hardware side, the MLX90614 sensor consumes very little power (6.6 mW), so there is no benefit in downgrading it. The rotary encoder is passive and adds zero power overhead, making it an excellent low-cost input method. If cost and size are constrained, keeping the 500mAh battery but implementing aggressive light-sleep between BLE events would be the best effort-to-impact tradeoff.</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</si>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</sst>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
  </numFmts>
  <fonts count="24">
    <font>
      <sz val="10"/>
      <color rgb="FF000000"/>
      <name val="Arial"/>
      <charset val="134"/>
      <scheme val="minor"/>
    </font>
    <font>
      <sz val="10"/>
      <color theme="1"/>
      <name val="Arial"/>
      <charset val="134"/>
      <scheme val="minor"/>
    </font>
    <font>
      <b/>
      <sz val="14"/>
      <color rgb="FF000000"/>
      <name val="Arial Bold"/>
      <charset val="134"/>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9"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0" applyNumberFormat="0" applyFill="0" applyAlignment="0" applyProtection="0">
      <alignment vertical="center"/>
    </xf>
    <xf numFmtId="0" fontId="11" fillId="0" borderId="10" applyNumberFormat="0" applyFill="0" applyAlignment="0" applyProtection="0">
      <alignment vertical="center"/>
    </xf>
    <xf numFmtId="0" fontId="12" fillId="0" borderId="11" applyNumberFormat="0" applyFill="0" applyAlignment="0" applyProtection="0">
      <alignment vertical="center"/>
    </xf>
    <xf numFmtId="0" fontId="12" fillId="0" borderId="0" applyNumberFormat="0" applyFill="0" applyBorder="0" applyAlignment="0" applyProtection="0">
      <alignment vertical="center"/>
    </xf>
    <xf numFmtId="0" fontId="13" fillId="6" borderId="12" applyNumberFormat="0" applyAlignment="0" applyProtection="0">
      <alignment vertical="center"/>
    </xf>
    <xf numFmtId="0" fontId="14" fillId="7" borderId="13" applyNumberFormat="0" applyAlignment="0" applyProtection="0">
      <alignment vertical="center"/>
    </xf>
    <xf numFmtId="0" fontId="15" fillId="7" borderId="12" applyNumberFormat="0" applyAlignment="0" applyProtection="0">
      <alignment vertical="center"/>
    </xf>
    <xf numFmtId="0" fontId="16" fillId="8" borderId="14" applyNumberFormat="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32">
    <xf numFmtId="0" fontId="0" fillId="0" borderId="0" xfId="0" applyFont="1" applyAlignment="1"/>
    <xf numFmtId="0" fontId="1" fillId="0" borderId="0" xfId="0" applyFont="1" applyAlignment="1"/>
    <xf numFmtId="0" fontId="1" fillId="0" borderId="0" xfId="0" applyFont="1"/>
    <xf numFmtId="1" fontId="1" fillId="0" borderId="0" xfId="0" applyNumberFormat="1" applyFont="1"/>
    <xf numFmtId="9" fontId="1" fillId="0" borderId="0" xfId="0" applyNumberFormat="1" applyFont="1"/>
    <xf numFmtId="10" fontId="1" fillId="0" borderId="0" xfId="0" applyNumberFormat="1" applyFont="1"/>
    <xf numFmtId="0" fontId="2" fillId="0" borderId="0" xfId="0" applyFont="1" applyAlignment="1">
      <alignment horizontal="center"/>
    </xf>
    <xf numFmtId="0" fontId="0" fillId="0" borderId="0" xfId="0" applyFont="1" applyAlignment="1">
      <alignment horizontal="center"/>
    </xf>
    <xf numFmtId="0" fontId="1" fillId="0" borderId="1" xfId="0" applyFont="1" applyBorder="1"/>
    <xf numFmtId="0" fontId="1" fillId="0" borderId="2" xfId="0" applyFont="1" applyBorder="1"/>
    <xf numFmtId="0" fontId="3" fillId="0" borderId="3" xfId="0" applyFont="1" applyBorder="1" applyAlignment="1"/>
    <xf numFmtId="0" fontId="1" fillId="0" borderId="3" xfId="0" applyFont="1" applyBorder="1"/>
    <xf numFmtId="0" fontId="4" fillId="0" borderId="0" xfId="0" applyFont="1" applyAlignment="1"/>
    <xf numFmtId="0" fontId="1" fillId="0" borderId="3" xfId="0" applyFont="1" applyBorder="1" applyAlignment="1"/>
    <xf numFmtId="1" fontId="4" fillId="2" borderId="0" xfId="0" applyNumberFormat="1" applyFont="1" applyFill="1" applyAlignment="1"/>
    <xf numFmtId="1" fontId="1" fillId="2" borderId="0" xfId="0" applyNumberFormat="1" applyFont="1" applyFill="1" applyAlignment="1"/>
    <xf numFmtId="0" fontId="1" fillId="2" borderId="0" xfId="0" applyFont="1" applyFill="1" applyAlignment="1"/>
    <xf numFmtId="9" fontId="1" fillId="2" borderId="0" xfId="0" applyNumberFormat="1" applyFont="1" applyFill="1" applyAlignment="1"/>
    <xf numFmtId="0" fontId="1" fillId="0" borderId="4" xfId="0" applyFont="1" applyBorder="1"/>
    <xf numFmtId="0" fontId="1" fillId="0" borderId="5" xfId="0" applyFont="1" applyBorder="1"/>
    <xf numFmtId="0" fontId="3" fillId="0" borderId="0" xfId="0" applyFont="1" applyAlignment="1"/>
    <xf numFmtId="0" fontId="0" fillId="0" borderId="0" xfId="0" applyFont="1" applyAlignment="1">
      <alignment horizontal="center" wrapText="1"/>
    </xf>
    <xf numFmtId="0" fontId="0" fillId="0" borderId="0" xfId="0" applyFont="1" applyAlignment="1">
      <alignment wrapText="1"/>
    </xf>
    <xf numFmtId="9" fontId="4" fillId="2" borderId="0" xfId="0" applyNumberFormat="1" applyFont="1" applyFill="1" applyAlignment="1"/>
    <xf numFmtId="0" fontId="1" fillId="0" borderId="6" xfId="0" applyFont="1" applyBorder="1"/>
    <xf numFmtId="0" fontId="1" fillId="0" borderId="7" xfId="0" applyFont="1" applyBorder="1"/>
    <xf numFmtId="0" fontId="1" fillId="3" borderId="0" xfId="0" applyFont="1" applyFill="1" applyAlignment="1"/>
    <xf numFmtId="0" fontId="1" fillId="3" borderId="0" xfId="0" applyFont="1" applyFill="1"/>
    <xf numFmtId="0" fontId="3" fillId="4" borderId="0" xfId="0" applyFont="1" applyFill="1" applyAlignment="1"/>
    <xf numFmtId="0" fontId="1" fillId="0" borderId="8" xfId="0" applyFont="1" applyBorder="1"/>
    <xf numFmtId="176" fontId="1" fillId="3" borderId="0" xfId="0" applyNumberFormat="1" applyFont="1" applyFill="1"/>
    <xf numFmtId="2" fontId="3" fillId="4" borderId="0" xfId="0" applyNumberFormat="1"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Sensitivity Analysis</a:t>
            </a:r>
            <a:endParaRPr b="0">
              <a:solidFill>
                <a:srgbClr val="757575"/>
              </a:solidFill>
              <a:latin typeface="+mn-lt"/>
            </a:endParaRPr>
          </a:p>
        </c:rich>
      </c:tx>
      <c:layout/>
      <c:overlay val="0"/>
    </c:title>
    <c:autoTitleDeleted val="0"/>
    <c:plotArea>
      <c:layout/>
      <c:barChart>
        <c:barDir val="col"/>
        <c:grouping val="none"/>
        <c:varyColors val="0"/>
        <c:ser>
          <c:idx val="0"/>
          <c:order val="0"/>
          <c:invertIfNegative val="0"/>
          <c:dLbls>
            <c:delete val="1"/>
          </c:dLbls>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0.0282143147952121</c:v>
                </c:pt>
                <c:pt idx="1">
                  <c:v>0.00309806569488025</c:v>
                </c:pt>
                <c:pt idx="2">
                  <c:v>0</c:v>
                </c:pt>
                <c:pt idx="3">
                  <c:v>0.0218490795063726</c:v>
                </c:pt>
                <c:pt idx="4">
                  <c:v>0.00222231040914322</c:v>
                </c:pt>
                <c:pt idx="5">
                  <c:v>0.000594294770206005</c:v>
                </c:pt>
                <c:pt idx="6">
                  <c:v>0</c:v>
                </c:pt>
                <c:pt idx="7">
                  <c:v>0</c:v>
                </c:pt>
                <c:pt idx="8">
                  <c:v>0</c:v>
                </c:pt>
                <c:pt idx="9">
                  <c:v>0.0157255469755471</c:v>
                </c:pt>
                <c:pt idx="10">
                  <c:v>0.0210847635797602</c:v>
                </c:pt>
                <c:pt idx="11">
                  <c:v>0.00923113810741683</c:v>
                </c:pt>
              </c:numCache>
            </c:numRef>
          </c:val>
        </c:ser>
        <c:dLbls>
          <c:showLegendKey val="0"/>
          <c:showVal val="0"/>
          <c:showCatName val="0"/>
          <c:showSerName val="0"/>
          <c:showPercent val="0"/>
          <c:showBubbleSize val="0"/>
        </c:dLbls>
        <c:gapWidth val="150"/>
        <c:axId val="1607494655"/>
        <c:axId val="916634806"/>
      </c:barChart>
      <c:catAx>
        <c:axId val="1607494655"/>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16634806"/>
        <c:crosses val="autoZero"/>
        <c:auto val="1"/>
        <c:lblAlgn val="ctr"/>
        <c:lblOffset val="100"/>
        <c:noMultiLvlLbl val="0"/>
      </c:catAx>
      <c:valAx>
        <c:axId val="916634806"/>
        <c:scaling>
          <c:orientation val="minMax"/>
        </c:scaling>
        <c:delete val="0"/>
        <c:axPos val="l"/>
        <c:numFmt formatCode="0.00%" sourceLinked="1"/>
        <c:majorTickMark val="out"/>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07494655"/>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a92fd21f-e73b-4891-b070-85b913169e5f}"/>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Sensitivity Analysis</a:t>
            </a:r>
            <a:endParaRPr b="0">
              <a:solidFill>
                <a:srgbClr val="757575"/>
              </a:solidFill>
              <a:latin typeface="+mn-lt"/>
            </a:endParaRPr>
          </a:p>
        </c:rich>
      </c:tx>
      <c:layout/>
      <c:overlay val="0"/>
    </c:title>
    <c:autoTitleDeleted val="0"/>
    <c:plotArea>
      <c:layout/>
      <c:barChart>
        <c:barDir val="col"/>
        <c:grouping val="none"/>
        <c:varyColors val="0"/>
        <c:ser>
          <c:idx val="0"/>
          <c:order val="0"/>
          <c:invertIfNegative val="0"/>
          <c:dLbls>
            <c:delete val="1"/>
          </c:dLbls>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0.0282143147952121</c:v>
                </c:pt>
                <c:pt idx="1">
                  <c:v>0.00309806569488025</c:v>
                </c:pt>
                <c:pt idx="2">
                  <c:v>0</c:v>
                </c:pt>
                <c:pt idx="3">
                  <c:v>0.0218490795063726</c:v>
                </c:pt>
                <c:pt idx="4">
                  <c:v>0.00222231040914322</c:v>
                </c:pt>
                <c:pt idx="5">
                  <c:v>0.000594294770206005</c:v>
                </c:pt>
                <c:pt idx="6">
                  <c:v>0</c:v>
                </c:pt>
                <c:pt idx="7">
                  <c:v>0</c:v>
                </c:pt>
                <c:pt idx="8">
                  <c:v>0</c:v>
                </c:pt>
                <c:pt idx="9">
                  <c:v>0.0157255469755471</c:v>
                </c:pt>
                <c:pt idx="10">
                  <c:v>0.0210847635797602</c:v>
                </c:pt>
                <c:pt idx="11">
                  <c:v>0.00923113810741683</c:v>
                </c:pt>
              </c:numCache>
            </c:numRef>
          </c:val>
        </c:ser>
        <c:dLbls>
          <c:showLegendKey val="0"/>
          <c:showVal val="0"/>
          <c:showCatName val="0"/>
          <c:showSerName val="0"/>
          <c:showPercent val="0"/>
          <c:showBubbleSize val="0"/>
        </c:dLbls>
        <c:gapWidth val="150"/>
        <c:axId val="2116293431"/>
        <c:axId val="155221144"/>
      </c:barChart>
      <c:catAx>
        <c:axId val="2116293431"/>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55221144"/>
        <c:crosses val="autoZero"/>
        <c:auto val="1"/>
        <c:lblAlgn val="ctr"/>
        <c:lblOffset val="100"/>
        <c:noMultiLvlLbl val="0"/>
      </c:catAx>
      <c:valAx>
        <c:axId val="155221144"/>
        <c:scaling>
          <c:orientation val="minMax"/>
        </c:scaling>
        <c:delete val="0"/>
        <c:axPos val="l"/>
        <c:majorTickMark val="out"/>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16293431"/>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5f319db1-c7cb-4918-a334-bb48a853c16c}"/>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0</xdr:colOff>
      <xdr:row>0</xdr:row>
      <xdr:rowOff>180975</xdr:rowOff>
    </xdr:from>
    <xdr:ext cx="6743700" cy="4171950"/>
    <xdr:graphicFrame>
      <xdr:nvGraphicFramePr>
        <xdr:cNvPr id="2" name="Chart 1" title="Chart"/>
        <xdr:cNvGraphicFramePr/>
      </xdr:nvGraphicFramePr>
      <xdr:xfrm>
        <a:off x="9375140" y="180975"/>
        <a:ext cx="6743700" cy="4171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657225</xdr:colOff>
      <xdr:row>2</xdr:row>
      <xdr:rowOff>171450</xdr:rowOff>
    </xdr:from>
    <xdr:ext cx="6743700" cy="4171950"/>
    <xdr:graphicFrame>
      <xdr:nvGraphicFramePr>
        <xdr:cNvPr id="2" name="Chart 2" title="Chart"/>
        <xdr:cNvGraphicFramePr/>
      </xdr:nvGraphicFramePr>
      <xdr:xfrm>
        <a:off x="657225" y="571500"/>
        <a:ext cx="6743700" cy="4171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561975</xdr:colOff>
      <xdr:row>9</xdr:row>
      <xdr:rowOff>47625</xdr:rowOff>
    </xdr:from>
    <xdr:ext cx="3371850" cy="847725"/>
    <xdr:sp>
      <xdr:nvSpPr>
        <xdr:cNvPr id="4" name="Shape 4"/>
        <xdr:cNvSpPr txBox="1"/>
      </xdr:nvSpPr>
      <xdr:spPr>
        <a:xfrm>
          <a:off x="3257550" y="1847850"/>
          <a:ext cx="3371850" cy="84772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“hours” of use changes by x%</a:t>
          </a:r>
          <a:endParaRPr sz="1400"/>
        </a:p>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52"/>
  <sheetViews>
    <sheetView tabSelected="1" zoomScale="80" zoomScaleNormal="80" workbookViewId="0">
      <selection activeCell="V41" sqref="V41"/>
    </sheetView>
  </sheetViews>
  <sheetFormatPr defaultColWidth="12.6339285714286" defaultRowHeight="15.75" customHeight="1"/>
  <cols>
    <col min="1" max="1" width="18" customWidth="1"/>
    <col min="5" max="5" width="12.75" customWidth="1"/>
  </cols>
  <sheetData>
    <row r="1" ht="20" customHeight="1" spans="1:9">
      <c r="A1" s="6" t="s">
        <v>0</v>
      </c>
      <c r="B1" s="7"/>
      <c r="C1" s="7"/>
      <c r="D1" s="7"/>
      <c r="E1" s="7"/>
      <c r="F1" s="7"/>
      <c r="G1" s="7"/>
      <c r="H1" s="7"/>
      <c r="I1" s="7"/>
    </row>
    <row r="2" customHeight="1" spans="1:9">
      <c r="A2" s="8"/>
      <c r="B2" s="9"/>
      <c r="C2" s="9"/>
      <c r="D2" s="9"/>
      <c r="E2" s="9"/>
      <c r="F2" s="9"/>
      <c r="G2" s="9"/>
      <c r="H2" s="9"/>
      <c r="I2" s="24"/>
    </row>
    <row r="3" customHeight="1" spans="1:9">
      <c r="A3" s="10" t="s">
        <v>1</v>
      </c>
      <c r="E3" s="20" t="s">
        <v>2</v>
      </c>
      <c r="I3" s="25"/>
    </row>
    <row r="4" customHeight="1" spans="1:9">
      <c r="A4" s="11"/>
      <c r="B4" s="12" t="s">
        <v>3</v>
      </c>
      <c r="I4" s="25"/>
    </row>
    <row r="5" customHeight="1" spans="1:9">
      <c r="A5" s="11"/>
      <c r="E5" s="1" t="s">
        <v>4</v>
      </c>
      <c r="F5" s="1" t="s">
        <v>5</v>
      </c>
      <c r="G5" s="1" t="s">
        <v>6</v>
      </c>
      <c r="I5" s="25"/>
    </row>
    <row r="6" customHeight="1" spans="1:9">
      <c r="A6" s="10" t="s">
        <v>7</v>
      </c>
      <c r="I6" s="25"/>
    </row>
    <row r="7" customHeight="1" spans="1:9">
      <c r="A7" s="13" t="s">
        <v>8</v>
      </c>
      <c r="B7" s="14">
        <v>99</v>
      </c>
      <c r="C7" s="1" t="s">
        <v>9</v>
      </c>
      <c r="E7" s="17">
        <v>0</v>
      </c>
      <c r="F7" s="23">
        <v>0.05</v>
      </c>
      <c r="G7" s="17">
        <v>0.6</v>
      </c>
      <c r="I7" s="25"/>
    </row>
    <row r="8" customHeight="1" spans="1:9">
      <c r="A8" s="13" t="s">
        <v>10</v>
      </c>
      <c r="B8" s="15">
        <v>13</v>
      </c>
      <c r="C8" s="1" t="s">
        <v>9</v>
      </c>
      <c r="E8" s="17">
        <v>0</v>
      </c>
      <c r="F8" s="23">
        <v>0.15</v>
      </c>
      <c r="G8" s="17">
        <v>0.3</v>
      </c>
      <c r="I8" s="25"/>
    </row>
    <row r="9" customHeight="1" spans="1:9">
      <c r="A9" s="13" t="s">
        <v>11</v>
      </c>
      <c r="B9" s="15">
        <v>0</v>
      </c>
      <c r="C9" s="1" t="s">
        <v>9</v>
      </c>
      <c r="E9" s="17">
        <v>1</v>
      </c>
      <c r="F9" s="17">
        <v>0.8</v>
      </c>
      <c r="G9" s="17">
        <v>0.1</v>
      </c>
      <c r="I9" s="25"/>
    </row>
    <row r="10" customHeight="1" spans="1:9">
      <c r="A10" s="11"/>
      <c r="I10" s="25"/>
    </row>
    <row r="11" customHeight="1" spans="1:9">
      <c r="A11" s="10" t="s">
        <v>12</v>
      </c>
      <c r="I11" s="25"/>
    </row>
    <row r="12" customHeight="1" spans="1:9">
      <c r="A12" s="13" t="s">
        <v>13</v>
      </c>
      <c r="B12" s="15">
        <v>100</v>
      </c>
      <c r="C12" s="1" t="s">
        <v>9</v>
      </c>
      <c r="E12" s="17">
        <v>0</v>
      </c>
      <c r="F12" s="17">
        <v>0.02</v>
      </c>
      <c r="G12" s="17">
        <v>0.5</v>
      </c>
      <c r="I12" s="25"/>
    </row>
    <row r="13" customHeight="1" spans="1:9">
      <c r="A13" s="11"/>
      <c r="B13" s="3"/>
      <c r="I13" s="25"/>
    </row>
    <row r="14" customHeight="1" spans="1:9">
      <c r="A14" s="11"/>
      <c r="B14" s="3"/>
      <c r="I14" s="25"/>
    </row>
    <row r="15" customHeight="1" spans="1:9">
      <c r="A15" s="10" t="s">
        <v>14</v>
      </c>
      <c r="B15" s="3"/>
      <c r="I15" s="25"/>
    </row>
    <row r="16" customHeight="1" spans="1:9">
      <c r="A16" s="13" t="s">
        <v>13</v>
      </c>
      <c r="B16" s="15">
        <v>7</v>
      </c>
      <c r="C16" s="1" t="s">
        <v>9</v>
      </c>
      <c r="E16" s="17">
        <v>0</v>
      </c>
      <c r="F16" s="17">
        <v>0.05</v>
      </c>
      <c r="G16" s="17">
        <v>0.7</v>
      </c>
      <c r="I16" s="25"/>
    </row>
    <row r="17" customHeight="1" spans="1:9">
      <c r="A17" s="13" t="s">
        <v>10</v>
      </c>
      <c r="B17" s="15">
        <v>3</v>
      </c>
      <c r="C17" s="1" t="s">
        <v>9</v>
      </c>
      <c r="E17" s="17">
        <v>0</v>
      </c>
      <c r="F17" s="17">
        <v>0.15</v>
      </c>
      <c r="G17" s="17">
        <v>0.2</v>
      </c>
      <c r="I17" s="25"/>
    </row>
    <row r="18" customHeight="1" spans="1:9">
      <c r="A18" s="13" t="s">
        <v>15</v>
      </c>
      <c r="B18" s="15">
        <v>0</v>
      </c>
      <c r="C18" s="1" t="s">
        <v>9</v>
      </c>
      <c r="E18" s="17">
        <v>1</v>
      </c>
      <c r="F18" s="17">
        <v>0.8</v>
      </c>
      <c r="G18" s="17">
        <v>0.1</v>
      </c>
      <c r="I18" s="25"/>
    </row>
    <row r="19" customHeight="1" spans="1:9">
      <c r="A19" s="11"/>
      <c r="B19" s="3"/>
      <c r="I19" s="25"/>
    </row>
    <row r="20" customHeight="1" spans="1:9">
      <c r="A20" s="10" t="s">
        <v>16</v>
      </c>
      <c r="B20" s="3"/>
      <c r="I20" s="25"/>
    </row>
    <row r="21" customHeight="1" spans="1:9">
      <c r="A21" s="13" t="s">
        <v>13</v>
      </c>
      <c r="B21" s="15">
        <v>0</v>
      </c>
      <c r="C21" s="1" t="s">
        <v>9</v>
      </c>
      <c r="E21" s="17">
        <v>0</v>
      </c>
      <c r="F21" s="17">
        <v>0</v>
      </c>
      <c r="G21" s="17">
        <v>0</v>
      </c>
      <c r="I21" s="25"/>
    </row>
    <row r="22" customHeight="1" spans="1:9">
      <c r="A22" s="13" t="s">
        <v>17</v>
      </c>
      <c r="B22" s="15">
        <v>0</v>
      </c>
      <c r="C22" s="1" t="s">
        <v>9</v>
      </c>
      <c r="E22" s="17">
        <v>0</v>
      </c>
      <c r="F22" s="17">
        <v>0</v>
      </c>
      <c r="G22" s="17">
        <v>0</v>
      </c>
      <c r="I22" s="25"/>
    </row>
    <row r="23" customHeight="1" spans="1:9">
      <c r="A23" s="11"/>
      <c r="I23" s="25"/>
    </row>
    <row r="24" customHeight="1" spans="1:17">
      <c r="A24" s="10" t="s">
        <v>18</v>
      </c>
      <c r="I24" s="25"/>
      <c r="K24" s="8"/>
      <c r="L24" s="9"/>
      <c r="M24" s="9"/>
      <c r="N24" s="9"/>
      <c r="O24" s="9"/>
      <c r="P24" s="9"/>
      <c r="Q24" s="24"/>
    </row>
    <row r="25" customHeight="1" spans="1:17">
      <c r="A25" s="13" t="s">
        <v>19</v>
      </c>
      <c r="B25" s="16">
        <v>1000000</v>
      </c>
      <c r="C25" s="1" t="s">
        <v>20</v>
      </c>
      <c r="E25" s="17">
        <v>0</v>
      </c>
      <c r="F25" s="17">
        <v>0</v>
      </c>
      <c r="G25" s="17">
        <v>0</v>
      </c>
      <c r="I25" s="25"/>
      <c r="K25" s="11"/>
      <c r="L25" s="26" t="s">
        <v>21</v>
      </c>
      <c r="M25" s="27"/>
      <c r="N25" s="27"/>
      <c r="O25" s="26" t="s">
        <v>22</v>
      </c>
      <c r="P25" s="27"/>
      <c r="Q25" s="25"/>
    </row>
    <row r="26" customHeight="1" spans="1:17">
      <c r="A26" s="13" t="s">
        <v>23</v>
      </c>
      <c r="B26" s="15">
        <v>17</v>
      </c>
      <c r="C26" s="1" t="s">
        <v>9</v>
      </c>
      <c r="E26" s="17">
        <v>0</v>
      </c>
      <c r="F26" s="17">
        <v>0.9</v>
      </c>
      <c r="G26" s="17">
        <v>0.5</v>
      </c>
      <c r="I26" s="25"/>
      <c r="K26" s="11"/>
      <c r="L26" s="27" t="str">
        <f>E5</f>
        <v>"off"</v>
      </c>
      <c r="M26" s="27">
        <v>0.153</v>
      </c>
      <c r="N26" s="26" t="s">
        <v>9</v>
      </c>
      <c r="O26" s="30">
        <f t="shared" ref="O26:O28" si="0">$M$31/M26</f>
        <v>11764.7058823529</v>
      </c>
      <c r="P26" s="26" t="s">
        <v>24</v>
      </c>
      <c r="Q26" s="25"/>
    </row>
    <row r="27" customHeight="1" spans="1:17">
      <c r="A27" s="13" t="s">
        <v>25</v>
      </c>
      <c r="B27" s="15">
        <v>149</v>
      </c>
      <c r="C27" s="1" t="s">
        <v>9</v>
      </c>
      <c r="E27" s="17">
        <v>0</v>
      </c>
      <c r="F27" s="17">
        <v>0.05</v>
      </c>
      <c r="G27" s="17">
        <v>0.25</v>
      </c>
      <c r="I27" s="25"/>
      <c r="K27" s="11"/>
      <c r="L27" s="27" t="str">
        <f>F5</f>
        <v>"sensing"</v>
      </c>
      <c r="M27" s="27">
        <f>SUMPRODUCT(B7:B28,F7:F28)</f>
        <v>35.75</v>
      </c>
      <c r="N27" s="26" t="s">
        <v>9</v>
      </c>
      <c r="O27" s="30">
        <f t="shared" si="0"/>
        <v>50.3496503496503</v>
      </c>
      <c r="P27" s="26" t="s">
        <v>24</v>
      </c>
      <c r="Q27" s="25"/>
    </row>
    <row r="28" customHeight="1" spans="1:17">
      <c r="A28" s="13" t="s">
        <v>26</v>
      </c>
      <c r="B28" s="15">
        <v>66</v>
      </c>
      <c r="C28" s="1" t="s">
        <v>9</v>
      </c>
      <c r="E28" s="17">
        <v>0</v>
      </c>
      <c r="F28" s="17">
        <v>0.05</v>
      </c>
      <c r="G28" s="17">
        <v>0.25</v>
      </c>
      <c r="I28" s="25"/>
      <c r="K28" s="11"/>
      <c r="L28" s="27" t="str">
        <f>G5</f>
        <v>"interactive"</v>
      </c>
      <c r="M28" s="27">
        <f>SUMPRODUCT(B7:B28,G7:G28)</f>
        <v>181.05</v>
      </c>
      <c r="N28" s="26" t="s">
        <v>9</v>
      </c>
      <c r="O28" s="30">
        <f t="shared" si="0"/>
        <v>9.94200497100248</v>
      </c>
      <c r="P28" s="26" t="s">
        <v>24</v>
      </c>
      <c r="Q28" s="25"/>
    </row>
    <row r="29" customHeight="1" spans="1:17">
      <c r="A29" s="11"/>
      <c r="I29" s="25"/>
      <c r="K29" s="11"/>
      <c r="Q29" s="25"/>
    </row>
    <row r="30" customHeight="1" spans="1:17">
      <c r="A30" s="10"/>
      <c r="E30" s="16">
        <v>12</v>
      </c>
      <c r="F30" s="16">
        <v>8</v>
      </c>
      <c r="G30" s="16">
        <v>4</v>
      </c>
      <c r="H30" s="1" t="s">
        <v>27</v>
      </c>
      <c r="I30" s="25"/>
      <c r="K30" s="11"/>
      <c r="L30" s="1" t="s">
        <v>28</v>
      </c>
      <c r="Q30" s="25"/>
    </row>
    <row r="31" customHeight="1" spans="1:17">
      <c r="A31" s="10" t="s">
        <v>29</v>
      </c>
      <c r="I31" s="25"/>
      <c r="K31" s="11"/>
      <c r="M31" s="2">
        <f>B32*B33*B34</f>
        <v>1800</v>
      </c>
      <c r="N31" s="1" t="s">
        <v>30</v>
      </c>
      <c r="Q31" s="25"/>
    </row>
    <row r="32" customHeight="1" spans="1:17">
      <c r="A32" s="13" t="s">
        <v>31</v>
      </c>
      <c r="B32" s="15">
        <v>500</v>
      </c>
      <c r="C32" s="1" t="s">
        <v>32</v>
      </c>
      <c r="I32" s="25"/>
      <c r="K32" s="11"/>
      <c r="Q32" s="25"/>
    </row>
    <row r="33" customHeight="1" spans="1:17">
      <c r="A33" s="13" t="s">
        <v>33</v>
      </c>
      <c r="B33" s="15">
        <v>4</v>
      </c>
      <c r="C33" s="1" t="s">
        <v>34</v>
      </c>
      <c r="I33" s="25"/>
      <c r="K33" s="11"/>
      <c r="L33" s="28" t="s">
        <v>35</v>
      </c>
      <c r="M33" s="31">
        <f>M31/(E30*M26+F30*M27+G30*M28)</f>
        <v>1.7785928563806</v>
      </c>
      <c r="N33" s="28" t="s">
        <v>36</v>
      </c>
      <c r="Q33" s="25"/>
    </row>
    <row r="34" customHeight="1" spans="1:17">
      <c r="A34" s="13" t="s">
        <v>37</v>
      </c>
      <c r="B34" s="17">
        <v>0.9</v>
      </c>
      <c r="I34" s="25"/>
      <c r="K34" s="11"/>
      <c r="L34" s="28" t="s">
        <v>38</v>
      </c>
      <c r="M34" s="31">
        <f>M33*24</f>
        <v>42.6862285531345</v>
      </c>
      <c r="N34" s="28" t="s">
        <v>24</v>
      </c>
      <c r="Q34" s="25"/>
    </row>
    <row r="35" customHeight="1" spans="1:17">
      <c r="A35" s="18"/>
      <c r="B35" s="19"/>
      <c r="C35" s="19"/>
      <c r="D35" s="19"/>
      <c r="E35" s="19"/>
      <c r="F35" s="19"/>
      <c r="G35" s="19"/>
      <c r="H35" s="19"/>
      <c r="I35" s="29"/>
      <c r="K35" s="18"/>
      <c r="L35" s="19"/>
      <c r="M35" s="19"/>
      <c r="N35" s="19"/>
      <c r="O35" s="19"/>
      <c r="P35" s="19"/>
      <c r="Q35" s="29"/>
    </row>
    <row r="38" customHeight="1" spans="1:1">
      <c r="A38" s="20" t="s">
        <v>39</v>
      </c>
    </row>
    <row r="39" customHeight="1" spans="1:9">
      <c r="A39" s="21" t="s">
        <v>40</v>
      </c>
      <c r="B39" s="21"/>
      <c r="C39" s="21"/>
      <c r="D39" s="21"/>
      <c r="E39" s="21"/>
      <c r="F39" s="21"/>
      <c r="G39" s="21"/>
      <c r="H39" s="21"/>
      <c r="I39" s="21"/>
    </row>
    <row r="40" customHeight="1" spans="1:9">
      <c r="A40" s="21"/>
      <c r="B40" s="21"/>
      <c r="C40" s="21"/>
      <c r="D40" s="21"/>
      <c r="E40" s="21"/>
      <c r="F40" s="21"/>
      <c r="G40" s="21"/>
      <c r="H40" s="21"/>
      <c r="I40" s="21"/>
    </row>
    <row r="41" customHeight="1" spans="1:9">
      <c r="A41" s="21"/>
      <c r="B41" s="21"/>
      <c r="C41" s="21"/>
      <c r="D41" s="21"/>
      <c r="E41" s="21"/>
      <c r="F41" s="21"/>
      <c r="G41" s="21"/>
      <c r="H41" s="21"/>
      <c r="I41" s="21"/>
    </row>
    <row r="42" customHeight="1" spans="1:9">
      <c r="A42" s="21"/>
      <c r="B42" s="21"/>
      <c r="C42" s="21"/>
      <c r="D42" s="21"/>
      <c r="E42" s="21"/>
      <c r="F42" s="21"/>
      <c r="G42" s="21"/>
      <c r="H42" s="21"/>
      <c r="I42" s="21"/>
    </row>
    <row r="43" customHeight="1" spans="1:9">
      <c r="A43" s="21"/>
      <c r="B43" s="21"/>
      <c r="C43" s="21"/>
      <c r="D43" s="21"/>
      <c r="E43" s="21"/>
      <c r="F43" s="21"/>
      <c r="G43" s="21"/>
      <c r="H43" s="21"/>
      <c r="I43" s="21"/>
    </row>
    <row r="44" customHeight="1" spans="1:9">
      <c r="A44" s="21"/>
      <c r="B44" s="21"/>
      <c r="C44" s="21"/>
      <c r="D44" s="21"/>
      <c r="E44" s="21"/>
      <c r="F44" s="21"/>
      <c r="G44" s="21"/>
      <c r="H44" s="21"/>
      <c r="I44" s="21"/>
    </row>
    <row r="45" customHeight="1" spans="1:9">
      <c r="A45" s="21"/>
      <c r="B45" s="21"/>
      <c r="C45" s="21"/>
      <c r="D45" s="21"/>
      <c r="E45" s="21"/>
      <c r="F45" s="21"/>
      <c r="G45" s="21"/>
      <c r="H45" s="21"/>
      <c r="I45" s="21"/>
    </row>
    <row r="46" customHeight="1" spans="1:9">
      <c r="A46" s="21"/>
      <c r="B46" s="21"/>
      <c r="C46" s="21"/>
      <c r="D46" s="21"/>
      <c r="E46" s="21"/>
      <c r="F46" s="21"/>
      <c r="G46" s="21"/>
      <c r="H46" s="21"/>
      <c r="I46" s="21"/>
    </row>
    <row r="47" customHeight="1" spans="1:9">
      <c r="A47" s="21"/>
      <c r="B47" s="21"/>
      <c r="C47" s="21"/>
      <c r="D47" s="21"/>
      <c r="E47" s="21"/>
      <c r="F47" s="21"/>
      <c r="G47" s="21"/>
      <c r="H47" s="21"/>
      <c r="I47" s="21"/>
    </row>
    <row r="48" customHeight="1" spans="1:9">
      <c r="A48" s="21"/>
      <c r="B48" s="21"/>
      <c r="C48" s="21"/>
      <c r="D48" s="21"/>
      <c r="E48" s="21"/>
      <c r="F48" s="21"/>
      <c r="G48" s="21"/>
      <c r="H48" s="21"/>
      <c r="I48" s="21"/>
    </row>
    <row r="49" customHeight="1" spans="1:9">
      <c r="A49" s="22"/>
      <c r="B49" s="22"/>
      <c r="C49" s="22"/>
      <c r="D49" s="22"/>
      <c r="E49" s="22"/>
      <c r="F49" s="22"/>
      <c r="G49" s="22"/>
      <c r="H49" s="22"/>
      <c r="I49" s="22"/>
    </row>
    <row r="50" customHeight="1" spans="1:9">
      <c r="A50" s="22"/>
      <c r="B50" s="22"/>
      <c r="C50" s="22"/>
      <c r="D50" s="22"/>
      <c r="E50" s="22"/>
      <c r="F50" s="22"/>
      <c r="G50" s="22"/>
      <c r="H50" s="22"/>
      <c r="I50" s="22"/>
    </row>
    <row r="51" customHeight="1" spans="1:9">
      <c r="A51" s="22"/>
      <c r="B51" s="22"/>
      <c r="C51" s="22"/>
      <c r="D51" s="22"/>
      <c r="E51" s="22"/>
      <c r="F51" s="22"/>
      <c r="G51" s="22"/>
      <c r="H51" s="22"/>
      <c r="I51" s="22"/>
    </row>
    <row r="52" customHeight="1" spans="1:9">
      <c r="A52" s="22"/>
      <c r="B52" s="22"/>
      <c r="C52" s="22"/>
      <c r="D52" s="22"/>
      <c r="E52" s="22"/>
      <c r="F52" s="22"/>
      <c r="G52" s="22"/>
      <c r="H52" s="22"/>
      <c r="I52" s="22"/>
    </row>
  </sheetData>
  <mergeCells count="2">
    <mergeCell ref="A1:I1"/>
    <mergeCell ref="A39:I4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50:W118"/>
  <sheetViews>
    <sheetView workbookViewId="0">
      <selection activeCell="A1" sqref="A1"/>
    </sheetView>
  </sheetViews>
  <sheetFormatPr defaultColWidth="12.6339285714286" defaultRowHeight="15.75" customHeight="1"/>
  <sheetData>
    <row r="50" customHeight="1" spans="1:1">
      <c r="A50" s="1" t="s">
        <v>41</v>
      </c>
    </row>
    <row r="52" customHeight="1" spans="1:23">
      <c r="A52" s="2" t="str">
        <f>'System Parameters'!A3</f>
        <v>System Parameters (defined by hardware)</v>
      </c>
      <c r="B52" s="2">
        <f>'System Parameters'!B3</f>
        <v>0</v>
      </c>
      <c r="C52" s="2">
        <f>'System Parameters'!C3</f>
        <v>0</v>
      </c>
      <c r="D52" s="2">
        <f>'System Parameters'!D3</f>
        <v>0</v>
      </c>
      <c r="T52" s="2" t="str">
        <f>'System Parameters'!E3</f>
        <v>Profiles (usage of each component mode - defined by software and usage)</v>
      </c>
      <c r="U52" s="2">
        <f>'System Parameters'!F3</f>
        <v>0</v>
      </c>
      <c r="V52" s="2">
        <f>'System Parameters'!G3</f>
        <v>0</v>
      </c>
      <c r="W52" s="2">
        <f>'System Parameters'!H3</f>
        <v>0</v>
      </c>
    </row>
    <row r="53" customHeight="1" spans="1:23">
      <c r="A53" s="2">
        <f>'System Parameters'!A4</f>
        <v>0</v>
      </c>
      <c r="B53" s="2" t="str">
        <f>'System Parameters'!B4</f>
        <v>form the datasheets</v>
      </c>
      <c r="C53" s="2">
        <f>'System Parameters'!C4</f>
        <v>0</v>
      </c>
      <c r="D53" s="2">
        <f>'System Parameters'!D4</f>
        <v>0</v>
      </c>
      <c r="T53" s="2">
        <f>'System Parameters'!E4</f>
        <v>0</v>
      </c>
      <c r="U53" s="2">
        <f>'System Parameters'!F4</f>
        <v>0</v>
      </c>
      <c r="V53" s="2">
        <f>'System Parameters'!G4</f>
        <v>0</v>
      </c>
      <c r="W53" s="2">
        <f>'System Parameters'!H4</f>
        <v>0</v>
      </c>
    </row>
    <row r="54" customHeight="1" spans="1:23">
      <c r="A54" s="2">
        <f>'System Parameters'!A5</f>
        <v>0</v>
      </c>
      <c r="B54" s="2">
        <f>'System Parameters'!B5</f>
        <v>0</v>
      </c>
      <c r="C54" s="2">
        <f>'System Parameters'!C5</f>
        <v>0</v>
      </c>
      <c r="D54" s="2">
        <f>'System Parameters'!D5</f>
        <v>0</v>
      </c>
      <c r="T54" s="2" t="str">
        <f>'System Parameters'!E5</f>
        <v>"off"</v>
      </c>
      <c r="U54" s="2" t="str">
        <f>'System Parameters'!F5</f>
        <v>"sensing"</v>
      </c>
      <c r="V54" s="2" t="str">
        <f>'System Parameters'!G5</f>
        <v>"interactive"</v>
      </c>
      <c r="W54" s="2">
        <f>'System Parameters'!H5</f>
        <v>0</v>
      </c>
    </row>
    <row r="55" customHeight="1" spans="1:23">
      <c r="A55" s="2" t="str">
        <f>'System Parameters'!A6</f>
        <v>Processor</v>
      </c>
      <c r="B55" s="2">
        <f>'System Parameters'!B6</f>
        <v>0</v>
      </c>
      <c r="C55" s="2">
        <f>'System Parameters'!C6</f>
        <v>0</v>
      </c>
      <c r="D55" s="2">
        <f>'System Parameters'!D6</f>
        <v>0</v>
      </c>
      <c r="T55" s="2">
        <f>'System Parameters'!E6</f>
        <v>0</v>
      </c>
      <c r="U55" s="2">
        <f>'System Parameters'!F6</f>
        <v>0</v>
      </c>
      <c r="V55" s="2">
        <f>'System Parameters'!G6</f>
        <v>0</v>
      </c>
      <c r="W55" s="2">
        <f>'System Parameters'!H6</f>
        <v>0</v>
      </c>
    </row>
    <row r="56" customHeight="1" spans="1:23">
      <c r="A56" s="2" t="str">
        <f>'System Parameters'!A7</f>
        <v>Active</v>
      </c>
      <c r="B56" s="3">
        <f>'System Parameters'!B7</f>
        <v>99</v>
      </c>
      <c r="C56" s="2" t="str">
        <f>'System Parameters'!C7</f>
        <v>mW</v>
      </c>
      <c r="D56" s="2">
        <f>$B56*0.9</f>
        <v>89.1</v>
      </c>
      <c r="E56" s="3">
        <f t="shared" ref="E56:O56" si="0">$B56</f>
        <v>99</v>
      </c>
      <c r="F56" s="3">
        <f t="shared" si="0"/>
        <v>99</v>
      </c>
      <c r="G56" s="3">
        <f t="shared" si="0"/>
        <v>99</v>
      </c>
      <c r="H56" s="3">
        <f t="shared" si="0"/>
        <v>99</v>
      </c>
      <c r="I56" s="3">
        <f t="shared" si="0"/>
        <v>99</v>
      </c>
      <c r="J56" s="3">
        <f t="shared" si="0"/>
        <v>99</v>
      </c>
      <c r="K56" s="3">
        <f t="shared" si="0"/>
        <v>99</v>
      </c>
      <c r="L56" s="3">
        <f t="shared" si="0"/>
        <v>99</v>
      </c>
      <c r="M56" s="3">
        <f t="shared" si="0"/>
        <v>99</v>
      </c>
      <c r="N56" s="3">
        <f t="shared" si="0"/>
        <v>99</v>
      </c>
      <c r="O56" s="3">
        <f t="shared" si="0"/>
        <v>99</v>
      </c>
      <c r="T56" s="4">
        <f>'System Parameters'!E7</f>
        <v>0</v>
      </c>
      <c r="U56" s="4">
        <f>'System Parameters'!F7</f>
        <v>0.05</v>
      </c>
      <c r="V56" s="4">
        <f>'System Parameters'!G7</f>
        <v>0.6</v>
      </c>
      <c r="W56" s="2">
        <f>'System Parameters'!H7</f>
        <v>0</v>
      </c>
    </row>
    <row r="57" customHeight="1" spans="1:23">
      <c r="A57" s="2" t="str">
        <f>'System Parameters'!A8</f>
        <v>Idle</v>
      </c>
      <c r="B57" s="3">
        <f>'System Parameters'!B8</f>
        <v>13</v>
      </c>
      <c r="C57" s="2" t="str">
        <f>'System Parameters'!C8</f>
        <v>mW</v>
      </c>
      <c r="D57" s="3">
        <f t="shared" ref="D57:D76" si="1">$B57</f>
        <v>13</v>
      </c>
      <c r="E57" s="2">
        <f>$B57*0.9</f>
        <v>11.7</v>
      </c>
      <c r="F57" s="3">
        <f t="shared" ref="F57:O57" si="2">$B57</f>
        <v>13</v>
      </c>
      <c r="G57" s="3">
        <f t="shared" si="2"/>
        <v>13</v>
      </c>
      <c r="H57" s="3">
        <f t="shared" si="2"/>
        <v>13</v>
      </c>
      <c r="I57" s="3">
        <f t="shared" si="2"/>
        <v>13</v>
      </c>
      <c r="J57" s="3">
        <f t="shared" si="2"/>
        <v>13</v>
      </c>
      <c r="K57" s="3">
        <f t="shared" si="2"/>
        <v>13</v>
      </c>
      <c r="L57" s="3">
        <f t="shared" si="2"/>
        <v>13</v>
      </c>
      <c r="M57" s="3">
        <f t="shared" si="2"/>
        <v>13</v>
      </c>
      <c r="N57" s="3">
        <f t="shared" si="2"/>
        <v>13</v>
      </c>
      <c r="O57" s="3">
        <f t="shared" si="2"/>
        <v>13</v>
      </c>
      <c r="T57" s="4">
        <f>'System Parameters'!E8</f>
        <v>0</v>
      </c>
      <c r="U57" s="4">
        <f>'System Parameters'!F8</f>
        <v>0.15</v>
      </c>
      <c r="V57" s="4">
        <f>'System Parameters'!G8</f>
        <v>0.3</v>
      </c>
      <c r="W57" s="2">
        <f>'System Parameters'!H8</f>
        <v>0</v>
      </c>
    </row>
    <row r="58" customHeight="1" spans="1:23">
      <c r="A58" s="2" t="str">
        <f>'System Parameters'!A9</f>
        <v>Sleep</v>
      </c>
      <c r="B58" s="3">
        <f>'System Parameters'!B9</f>
        <v>0</v>
      </c>
      <c r="C58" s="2" t="str">
        <f>'System Parameters'!C9</f>
        <v>mW</v>
      </c>
      <c r="D58" s="3">
        <f t="shared" si="1"/>
        <v>0</v>
      </c>
      <c r="E58" s="3">
        <f t="shared" ref="E58:E76" si="3">$B58</f>
        <v>0</v>
      </c>
      <c r="F58" s="2">
        <f>$B58*0.9</f>
        <v>0</v>
      </c>
      <c r="G58" s="3">
        <f t="shared" ref="G58:O58" si="4">$B58</f>
        <v>0</v>
      </c>
      <c r="H58" s="3">
        <f t="shared" si="4"/>
        <v>0</v>
      </c>
      <c r="I58" s="3">
        <f t="shared" si="4"/>
        <v>0</v>
      </c>
      <c r="J58" s="3">
        <f t="shared" si="4"/>
        <v>0</v>
      </c>
      <c r="K58" s="3">
        <f t="shared" si="4"/>
        <v>0</v>
      </c>
      <c r="L58" s="3">
        <f t="shared" si="4"/>
        <v>0</v>
      </c>
      <c r="M58" s="3">
        <f t="shared" si="4"/>
        <v>0</v>
      </c>
      <c r="N58" s="3">
        <f t="shared" si="4"/>
        <v>0</v>
      </c>
      <c r="O58" s="3">
        <f t="shared" si="4"/>
        <v>0</v>
      </c>
      <c r="T58" s="4">
        <f>'System Parameters'!E9</f>
        <v>1</v>
      </c>
      <c r="U58" s="4">
        <f>'System Parameters'!F9</f>
        <v>0.8</v>
      </c>
      <c r="V58" s="4">
        <f>'System Parameters'!G9</f>
        <v>0.1</v>
      </c>
      <c r="W58" s="2">
        <f>'System Parameters'!H9</f>
        <v>0</v>
      </c>
    </row>
    <row r="59" customHeight="1" spans="1:23">
      <c r="A59" s="2">
        <f>'System Parameters'!A10</f>
        <v>0</v>
      </c>
      <c r="B59" s="2">
        <f>'System Parameters'!B10</f>
        <v>0</v>
      </c>
      <c r="C59" s="2">
        <f>'System Parameters'!C10</f>
        <v>0</v>
      </c>
      <c r="D59" s="2">
        <f t="shared" si="1"/>
        <v>0</v>
      </c>
      <c r="E59" s="2">
        <f t="shared" si="3"/>
        <v>0</v>
      </c>
      <c r="F59" s="2">
        <f t="shared" ref="F59:O59" si="5">$B59</f>
        <v>0</v>
      </c>
      <c r="G59" s="2">
        <f t="shared" si="5"/>
        <v>0</v>
      </c>
      <c r="H59" s="2">
        <f t="shared" si="5"/>
        <v>0</v>
      </c>
      <c r="I59" s="2">
        <f t="shared" si="5"/>
        <v>0</v>
      </c>
      <c r="J59" s="2">
        <f t="shared" si="5"/>
        <v>0</v>
      </c>
      <c r="K59" s="2">
        <f t="shared" si="5"/>
        <v>0</v>
      </c>
      <c r="L59" s="2">
        <f t="shared" si="5"/>
        <v>0</v>
      </c>
      <c r="M59" s="2">
        <f t="shared" si="5"/>
        <v>0</v>
      </c>
      <c r="N59" s="2">
        <f t="shared" si="5"/>
        <v>0</v>
      </c>
      <c r="O59" s="2">
        <f t="shared" si="5"/>
        <v>0</v>
      </c>
      <c r="T59" s="2">
        <f>'System Parameters'!E10</f>
        <v>0</v>
      </c>
      <c r="U59" s="2">
        <f>'System Parameters'!F10</f>
        <v>0</v>
      </c>
      <c r="V59" s="2">
        <f>'System Parameters'!G10</f>
        <v>0</v>
      </c>
      <c r="W59" s="2">
        <f>'System Parameters'!H10</f>
        <v>0</v>
      </c>
    </row>
    <row r="60" customHeight="1" spans="1:23">
      <c r="A60" s="2" t="str">
        <f>'System Parameters'!A11</f>
        <v>LED</v>
      </c>
      <c r="B60" s="2">
        <f>'System Parameters'!B11</f>
        <v>0</v>
      </c>
      <c r="C60" s="2">
        <f>'System Parameters'!C11</f>
        <v>0</v>
      </c>
      <c r="D60" s="2">
        <f t="shared" si="1"/>
        <v>0</v>
      </c>
      <c r="E60" s="2">
        <f t="shared" si="3"/>
        <v>0</v>
      </c>
      <c r="F60" s="2">
        <f t="shared" ref="F60:O60" si="6">$B60</f>
        <v>0</v>
      </c>
      <c r="G60" s="2">
        <f t="shared" si="6"/>
        <v>0</v>
      </c>
      <c r="H60" s="2">
        <f t="shared" si="6"/>
        <v>0</v>
      </c>
      <c r="I60" s="2">
        <f t="shared" si="6"/>
        <v>0</v>
      </c>
      <c r="J60" s="2">
        <f t="shared" si="6"/>
        <v>0</v>
      </c>
      <c r="K60" s="2">
        <f t="shared" si="6"/>
        <v>0</v>
      </c>
      <c r="L60" s="2">
        <f t="shared" si="6"/>
        <v>0</v>
      </c>
      <c r="M60" s="2">
        <f t="shared" si="6"/>
        <v>0</v>
      </c>
      <c r="N60" s="2">
        <f t="shared" si="6"/>
        <v>0</v>
      </c>
      <c r="O60" s="2">
        <f t="shared" si="6"/>
        <v>0</v>
      </c>
      <c r="T60" s="2">
        <f>'System Parameters'!E11</f>
        <v>0</v>
      </c>
      <c r="U60" s="2">
        <f>'System Parameters'!F11</f>
        <v>0</v>
      </c>
      <c r="V60" s="2">
        <f>'System Parameters'!G11</f>
        <v>0</v>
      </c>
      <c r="W60" s="2">
        <f>'System Parameters'!H11</f>
        <v>0</v>
      </c>
    </row>
    <row r="61" customHeight="1" spans="1:23">
      <c r="A61" s="2" t="str">
        <f>'System Parameters'!A12</f>
        <v>On</v>
      </c>
      <c r="B61" s="3">
        <f>'System Parameters'!B12</f>
        <v>100</v>
      </c>
      <c r="C61" s="2" t="str">
        <f>'System Parameters'!C12</f>
        <v>mW</v>
      </c>
      <c r="D61" s="3">
        <f t="shared" si="1"/>
        <v>100</v>
      </c>
      <c r="E61" s="3">
        <f t="shared" si="3"/>
        <v>100</v>
      </c>
      <c r="F61" s="3">
        <f t="shared" ref="F61:F76" si="7">$B61</f>
        <v>100</v>
      </c>
      <c r="G61" s="2">
        <f>$B61*0.9</f>
        <v>90</v>
      </c>
      <c r="H61" s="3">
        <f t="shared" ref="H61:O61" si="8">$B61</f>
        <v>100</v>
      </c>
      <c r="I61" s="3">
        <f t="shared" si="8"/>
        <v>100</v>
      </c>
      <c r="J61" s="3">
        <f t="shared" si="8"/>
        <v>100</v>
      </c>
      <c r="K61" s="3">
        <f t="shared" si="8"/>
        <v>100</v>
      </c>
      <c r="L61" s="3">
        <f t="shared" si="8"/>
        <v>100</v>
      </c>
      <c r="M61" s="3">
        <f t="shared" si="8"/>
        <v>100</v>
      </c>
      <c r="N61" s="3">
        <f t="shared" si="8"/>
        <v>100</v>
      </c>
      <c r="O61" s="3">
        <f t="shared" si="8"/>
        <v>100</v>
      </c>
      <c r="T61" s="4">
        <f>'System Parameters'!E12</f>
        <v>0</v>
      </c>
      <c r="U61" s="4">
        <f>'System Parameters'!F12</f>
        <v>0.02</v>
      </c>
      <c r="V61" s="4">
        <f>'System Parameters'!G12</f>
        <v>0.5</v>
      </c>
      <c r="W61" s="2">
        <f>'System Parameters'!H12</f>
        <v>0</v>
      </c>
    </row>
    <row r="62" customHeight="1" spans="1:23">
      <c r="A62" s="2">
        <f>'System Parameters'!A13</f>
        <v>0</v>
      </c>
      <c r="B62" s="3">
        <f>'System Parameters'!B13</f>
        <v>0</v>
      </c>
      <c r="C62" s="2">
        <f>'System Parameters'!C13</f>
        <v>0</v>
      </c>
      <c r="D62" s="3">
        <f t="shared" si="1"/>
        <v>0</v>
      </c>
      <c r="E62" s="3">
        <f t="shared" si="3"/>
        <v>0</v>
      </c>
      <c r="F62" s="3">
        <f t="shared" si="7"/>
        <v>0</v>
      </c>
      <c r="G62" s="3">
        <f t="shared" ref="G62:O62" si="9">$B62</f>
        <v>0</v>
      </c>
      <c r="H62" s="3">
        <f t="shared" si="9"/>
        <v>0</v>
      </c>
      <c r="I62" s="3">
        <f t="shared" si="9"/>
        <v>0</v>
      </c>
      <c r="J62" s="3">
        <f t="shared" si="9"/>
        <v>0</v>
      </c>
      <c r="K62" s="3">
        <f t="shared" si="9"/>
        <v>0</v>
      </c>
      <c r="L62" s="3">
        <f t="shared" si="9"/>
        <v>0</v>
      </c>
      <c r="M62" s="3">
        <f t="shared" si="9"/>
        <v>0</v>
      </c>
      <c r="N62" s="3">
        <f t="shared" si="9"/>
        <v>0</v>
      </c>
      <c r="O62" s="3">
        <f t="shared" si="9"/>
        <v>0</v>
      </c>
      <c r="T62" s="2">
        <f>'System Parameters'!E13</f>
        <v>0</v>
      </c>
      <c r="U62" s="2">
        <f>'System Parameters'!F13</f>
        <v>0</v>
      </c>
      <c r="V62" s="2">
        <f>'System Parameters'!G13</f>
        <v>0</v>
      </c>
      <c r="W62" s="2">
        <f>'System Parameters'!H13</f>
        <v>0</v>
      </c>
    </row>
    <row r="63" customHeight="1" spans="1:23">
      <c r="A63" s="2">
        <f>'System Parameters'!A14</f>
        <v>0</v>
      </c>
      <c r="B63" s="3">
        <f>'System Parameters'!B14</f>
        <v>0</v>
      </c>
      <c r="C63" s="2">
        <f>'System Parameters'!C14</f>
        <v>0</v>
      </c>
      <c r="D63" s="3">
        <f t="shared" si="1"/>
        <v>0</v>
      </c>
      <c r="E63" s="3">
        <f t="shared" si="3"/>
        <v>0</v>
      </c>
      <c r="F63" s="3">
        <f t="shared" si="7"/>
        <v>0</v>
      </c>
      <c r="G63" s="3">
        <f t="shared" ref="G63:O63" si="10">$B63</f>
        <v>0</v>
      </c>
      <c r="H63" s="3">
        <f t="shared" si="10"/>
        <v>0</v>
      </c>
      <c r="I63" s="3">
        <f t="shared" si="10"/>
        <v>0</v>
      </c>
      <c r="J63" s="3">
        <f t="shared" si="10"/>
        <v>0</v>
      </c>
      <c r="K63" s="3">
        <f t="shared" si="10"/>
        <v>0</v>
      </c>
      <c r="L63" s="3">
        <f t="shared" si="10"/>
        <v>0</v>
      </c>
      <c r="M63" s="3">
        <f t="shared" si="10"/>
        <v>0</v>
      </c>
      <c r="N63" s="3">
        <f t="shared" si="10"/>
        <v>0</v>
      </c>
      <c r="O63" s="3">
        <f t="shared" si="10"/>
        <v>0</v>
      </c>
      <c r="T63" s="2">
        <f>'System Parameters'!E14</f>
        <v>0</v>
      </c>
      <c r="U63" s="2">
        <f>'System Parameters'!F14</f>
        <v>0</v>
      </c>
      <c r="V63" s="2">
        <f>'System Parameters'!G14</f>
        <v>0</v>
      </c>
      <c r="W63" s="2">
        <f>'System Parameters'!H14</f>
        <v>0</v>
      </c>
    </row>
    <row r="64" customHeight="1" spans="1:23">
      <c r="A64" s="2" t="str">
        <f>'System Parameters'!A15</f>
        <v>Sensor</v>
      </c>
      <c r="B64" s="3">
        <f>'System Parameters'!B15</f>
        <v>0</v>
      </c>
      <c r="C64" s="2">
        <f>'System Parameters'!C15</f>
        <v>0</v>
      </c>
      <c r="D64" s="3">
        <f t="shared" si="1"/>
        <v>0</v>
      </c>
      <c r="E64" s="3">
        <f t="shared" si="3"/>
        <v>0</v>
      </c>
      <c r="F64" s="3">
        <f t="shared" si="7"/>
        <v>0</v>
      </c>
      <c r="G64" s="3">
        <f t="shared" ref="G64:O64" si="11">$B64</f>
        <v>0</v>
      </c>
      <c r="H64" s="3">
        <f t="shared" si="11"/>
        <v>0</v>
      </c>
      <c r="I64" s="3">
        <f t="shared" si="11"/>
        <v>0</v>
      </c>
      <c r="J64" s="3">
        <f t="shared" si="11"/>
        <v>0</v>
      </c>
      <c r="K64" s="3">
        <f t="shared" si="11"/>
        <v>0</v>
      </c>
      <c r="L64" s="3">
        <f t="shared" si="11"/>
        <v>0</v>
      </c>
      <c r="M64" s="3">
        <f t="shared" si="11"/>
        <v>0</v>
      </c>
      <c r="N64" s="3">
        <f t="shared" si="11"/>
        <v>0</v>
      </c>
      <c r="O64" s="3">
        <f t="shared" si="11"/>
        <v>0</v>
      </c>
      <c r="T64" s="2">
        <f>'System Parameters'!E15</f>
        <v>0</v>
      </c>
      <c r="U64" s="2">
        <f>'System Parameters'!F15</f>
        <v>0</v>
      </c>
      <c r="V64" s="2">
        <f>'System Parameters'!G15</f>
        <v>0</v>
      </c>
      <c r="W64" s="2">
        <f>'System Parameters'!H15</f>
        <v>0</v>
      </c>
    </row>
    <row r="65" customHeight="1" spans="1:23">
      <c r="A65" s="2" t="str">
        <f>'System Parameters'!A16</f>
        <v>On</v>
      </c>
      <c r="B65" s="3">
        <f>'System Parameters'!B16</f>
        <v>7</v>
      </c>
      <c r="C65" s="2" t="str">
        <f>'System Parameters'!C16</f>
        <v>mW</v>
      </c>
      <c r="D65" s="3">
        <f t="shared" si="1"/>
        <v>7</v>
      </c>
      <c r="E65" s="3">
        <f t="shared" si="3"/>
        <v>7</v>
      </c>
      <c r="F65" s="3">
        <f t="shared" si="7"/>
        <v>7</v>
      </c>
      <c r="G65" s="3">
        <f t="shared" ref="G65:G76" si="12">$B65</f>
        <v>7</v>
      </c>
      <c r="H65" s="2">
        <f>$B65*0.9</f>
        <v>6.3</v>
      </c>
      <c r="I65" s="3">
        <f t="shared" ref="I65:O65" si="13">$B65</f>
        <v>7</v>
      </c>
      <c r="J65" s="3">
        <f t="shared" si="13"/>
        <v>7</v>
      </c>
      <c r="K65" s="3">
        <f t="shared" si="13"/>
        <v>7</v>
      </c>
      <c r="L65" s="3">
        <f t="shared" si="13"/>
        <v>7</v>
      </c>
      <c r="M65" s="3">
        <f t="shared" si="13"/>
        <v>7</v>
      </c>
      <c r="N65" s="3">
        <f t="shared" si="13"/>
        <v>7</v>
      </c>
      <c r="O65" s="3">
        <f t="shared" si="13"/>
        <v>7</v>
      </c>
      <c r="T65" s="4">
        <f>'System Parameters'!E16</f>
        <v>0</v>
      </c>
      <c r="U65" s="4">
        <f>'System Parameters'!F16</f>
        <v>0.05</v>
      </c>
      <c r="V65" s="4">
        <f>'System Parameters'!G16</f>
        <v>0.7</v>
      </c>
      <c r="W65" s="2">
        <f>'System Parameters'!H16</f>
        <v>0</v>
      </c>
    </row>
    <row r="66" customHeight="1" spans="1:23">
      <c r="A66" s="2" t="str">
        <f>'System Parameters'!A17</f>
        <v>Idle</v>
      </c>
      <c r="B66" s="3">
        <f>'System Parameters'!B17</f>
        <v>3</v>
      </c>
      <c r="C66" s="2" t="str">
        <f>'System Parameters'!C17</f>
        <v>mW</v>
      </c>
      <c r="D66" s="3">
        <f t="shared" si="1"/>
        <v>3</v>
      </c>
      <c r="E66" s="3">
        <f t="shared" si="3"/>
        <v>3</v>
      </c>
      <c r="F66" s="3">
        <f t="shared" si="7"/>
        <v>3</v>
      </c>
      <c r="G66" s="3">
        <f t="shared" si="12"/>
        <v>3</v>
      </c>
      <c r="H66" s="3">
        <f t="shared" ref="H66:H76" si="14">$B66</f>
        <v>3</v>
      </c>
      <c r="I66" s="2">
        <f>$B66*0.9</f>
        <v>2.7</v>
      </c>
      <c r="J66" s="3">
        <f t="shared" ref="J66:O66" si="15">$B66</f>
        <v>3</v>
      </c>
      <c r="K66" s="3">
        <f t="shared" si="15"/>
        <v>3</v>
      </c>
      <c r="L66" s="3">
        <f t="shared" si="15"/>
        <v>3</v>
      </c>
      <c r="M66" s="3">
        <f t="shared" si="15"/>
        <v>3</v>
      </c>
      <c r="N66" s="3">
        <f t="shared" si="15"/>
        <v>3</v>
      </c>
      <c r="O66" s="3">
        <f t="shared" si="15"/>
        <v>3</v>
      </c>
      <c r="T66" s="4">
        <f>'System Parameters'!E17</f>
        <v>0</v>
      </c>
      <c r="U66" s="4">
        <f>'System Parameters'!F17</f>
        <v>0.15</v>
      </c>
      <c r="V66" s="4">
        <f>'System Parameters'!G17</f>
        <v>0.2</v>
      </c>
      <c r="W66" s="2">
        <f>'System Parameters'!H17</f>
        <v>0</v>
      </c>
    </row>
    <row r="67" customHeight="1" spans="1:23">
      <c r="A67" s="2" t="str">
        <f>'System Parameters'!A18</f>
        <v>Off</v>
      </c>
      <c r="B67" s="3">
        <f>'System Parameters'!B18</f>
        <v>0</v>
      </c>
      <c r="C67" s="2" t="str">
        <f>'System Parameters'!C18</f>
        <v>mW</v>
      </c>
      <c r="D67" s="3">
        <f t="shared" si="1"/>
        <v>0</v>
      </c>
      <c r="E67" s="3">
        <f t="shared" si="3"/>
        <v>0</v>
      </c>
      <c r="F67" s="3">
        <f t="shared" si="7"/>
        <v>0</v>
      </c>
      <c r="G67" s="3">
        <f t="shared" si="12"/>
        <v>0</v>
      </c>
      <c r="H67" s="3">
        <f t="shared" si="14"/>
        <v>0</v>
      </c>
      <c r="I67" s="3">
        <f t="shared" ref="I67:I76" si="16">$B67</f>
        <v>0</v>
      </c>
      <c r="J67" s="2">
        <f>$B67*0.9</f>
        <v>0</v>
      </c>
      <c r="K67" s="3">
        <f t="shared" ref="K67:O67" si="17">$B67</f>
        <v>0</v>
      </c>
      <c r="L67" s="3">
        <f t="shared" si="17"/>
        <v>0</v>
      </c>
      <c r="M67" s="3">
        <f t="shared" si="17"/>
        <v>0</v>
      </c>
      <c r="N67" s="3">
        <f t="shared" si="17"/>
        <v>0</v>
      </c>
      <c r="O67" s="3">
        <f t="shared" si="17"/>
        <v>0</v>
      </c>
      <c r="T67" s="4">
        <f>'System Parameters'!E18</f>
        <v>1</v>
      </c>
      <c r="U67" s="4">
        <f>'System Parameters'!F18</f>
        <v>0.8</v>
      </c>
      <c r="V67" s="4">
        <f>'System Parameters'!G18</f>
        <v>0.1</v>
      </c>
      <c r="W67" s="2">
        <f>'System Parameters'!H18</f>
        <v>0</v>
      </c>
    </row>
    <row r="68" customHeight="1" spans="1:23">
      <c r="A68" s="2">
        <f>'System Parameters'!A19</f>
        <v>0</v>
      </c>
      <c r="B68" s="3">
        <f>'System Parameters'!B19</f>
        <v>0</v>
      </c>
      <c r="C68" s="2">
        <f>'System Parameters'!C19</f>
        <v>0</v>
      </c>
      <c r="D68" s="3">
        <f t="shared" si="1"/>
        <v>0</v>
      </c>
      <c r="E68" s="3">
        <f t="shared" si="3"/>
        <v>0</v>
      </c>
      <c r="F68" s="3">
        <f t="shared" si="7"/>
        <v>0</v>
      </c>
      <c r="G68" s="3">
        <f t="shared" si="12"/>
        <v>0</v>
      </c>
      <c r="H68" s="3">
        <f t="shared" si="14"/>
        <v>0</v>
      </c>
      <c r="I68" s="3">
        <f t="shared" si="16"/>
        <v>0</v>
      </c>
      <c r="J68" s="3">
        <f t="shared" ref="J68:O68" si="18">$B68</f>
        <v>0</v>
      </c>
      <c r="K68" s="3">
        <f t="shared" si="18"/>
        <v>0</v>
      </c>
      <c r="L68" s="3">
        <f t="shared" si="18"/>
        <v>0</v>
      </c>
      <c r="M68" s="3">
        <f t="shared" si="18"/>
        <v>0</v>
      </c>
      <c r="N68" s="3">
        <f t="shared" si="18"/>
        <v>0</v>
      </c>
      <c r="O68" s="3">
        <f t="shared" si="18"/>
        <v>0</v>
      </c>
      <c r="T68" s="2">
        <f>'System Parameters'!E19</f>
        <v>0</v>
      </c>
      <c r="U68" s="2">
        <f>'System Parameters'!F19</f>
        <v>0</v>
      </c>
      <c r="V68" s="2">
        <f>'System Parameters'!G19</f>
        <v>0</v>
      </c>
      <c r="W68" s="2">
        <f>'System Parameters'!H19</f>
        <v>0</v>
      </c>
    </row>
    <row r="69" customHeight="1" spans="1:23">
      <c r="A69" s="2" t="str">
        <f>'System Parameters'!A20</f>
        <v>Display</v>
      </c>
      <c r="B69" s="3">
        <f>'System Parameters'!B20</f>
        <v>0</v>
      </c>
      <c r="C69" s="2">
        <f>'System Parameters'!C20</f>
        <v>0</v>
      </c>
      <c r="D69" s="3">
        <f t="shared" si="1"/>
        <v>0</v>
      </c>
      <c r="E69" s="3">
        <f t="shared" si="3"/>
        <v>0</v>
      </c>
      <c r="F69" s="3">
        <f t="shared" si="7"/>
        <v>0</v>
      </c>
      <c r="G69" s="3">
        <f t="shared" si="12"/>
        <v>0</v>
      </c>
      <c r="H69" s="3">
        <f t="shared" si="14"/>
        <v>0</v>
      </c>
      <c r="I69" s="3">
        <f t="shared" si="16"/>
        <v>0</v>
      </c>
      <c r="J69" s="3">
        <f t="shared" ref="J69:O69" si="19">$B69</f>
        <v>0</v>
      </c>
      <c r="K69" s="3">
        <f t="shared" si="19"/>
        <v>0</v>
      </c>
      <c r="L69" s="3">
        <f t="shared" si="19"/>
        <v>0</v>
      </c>
      <c r="M69" s="3">
        <f t="shared" si="19"/>
        <v>0</v>
      </c>
      <c r="N69" s="3">
        <f t="shared" si="19"/>
        <v>0</v>
      </c>
      <c r="O69" s="3">
        <f t="shared" si="19"/>
        <v>0</v>
      </c>
      <c r="T69" s="2">
        <f>'System Parameters'!E20</f>
        <v>0</v>
      </c>
      <c r="U69" s="2">
        <f>'System Parameters'!F20</f>
        <v>0</v>
      </c>
      <c r="V69" s="2">
        <f>'System Parameters'!G20</f>
        <v>0</v>
      </c>
      <c r="W69" s="2">
        <f>'System Parameters'!H20</f>
        <v>0</v>
      </c>
    </row>
    <row r="70" customHeight="1" spans="1:23">
      <c r="A70" s="2" t="str">
        <f>'System Parameters'!A21</f>
        <v>On</v>
      </c>
      <c r="B70" s="3">
        <f>'System Parameters'!B21</f>
        <v>0</v>
      </c>
      <c r="C70" s="2" t="str">
        <f>'System Parameters'!C21</f>
        <v>mW</v>
      </c>
      <c r="D70" s="3">
        <f t="shared" si="1"/>
        <v>0</v>
      </c>
      <c r="E70" s="3">
        <f t="shared" si="3"/>
        <v>0</v>
      </c>
      <c r="F70" s="3">
        <f t="shared" si="7"/>
        <v>0</v>
      </c>
      <c r="G70" s="3">
        <f t="shared" si="12"/>
        <v>0</v>
      </c>
      <c r="H70" s="3">
        <f t="shared" si="14"/>
        <v>0</v>
      </c>
      <c r="I70" s="3">
        <f t="shared" si="16"/>
        <v>0</v>
      </c>
      <c r="J70" s="3">
        <f t="shared" ref="J70:J76" si="20">$B70</f>
        <v>0</v>
      </c>
      <c r="K70" s="2">
        <f>$B70*0.9</f>
        <v>0</v>
      </c>
      <c r="L70" s="3">
        <f t="shared" ref="L70:O70" si="21">$B70</f>
        <v>0</v>
      </c>
      <c r="M70" s="3">
        <f t="shared" si="21"/>
        <v>0</v>
      </c>
      <c r="N70" s="3">
        <f t="shared" si="21"/>
        <v>0</v>
      </c>
      <c r="O70" s="3">
        <f t="shared" si="21"/>
        <v>0</v>
      </c>
      <c r="T70" s="4">
        <f>'System Parameters'!E21</f>
        <v>0</v>
      </c>
      <c r="U70" s="4">
        <f>'System Parameters'!F21</f>
        <v>0</v>
      </c>
      <c r="V70" s="4">
        <f>'System Parameters'!G21</f>
        <v>0</v>
      </c>
      <c r="W70" s="2">
        <f>'System Parameters'!H21</f>
        <v>0</v>
      </c>
    </row>
    <row r="71" customHeight="1" spans="1:23">
      <c r="A71" s="2" t="str">
        <f>'System Parameters'!A22</f>
        <v>Off (leakage)</v>
      </c>
      <c r="B71" s="3">
        <f>'System Parameters'!B22</f>
        <v>0</v>
      </c>
      <c r="C71" s="2" t="str">
        <f>'System Parameters'!C22</f>
        <v>mW</v>
      </c>
      <c r="D71" s="3">
        <f t="shared" si="1"/>
        <v>0</v>
      </c>
      <c r="E71" s="3">
        <f t="shared" si="3"/>
        <v>0</v>
      </c>
      <c r="F71" s="3">
        <f t="shared" si="7"/>
        <v>0</v>
      </c>
      <c r="G71" s="3">
        <f t="shared" si="12"/>
        <v>0</v>
      </c>
      <c r="H71" s="3">
        <f t="shared" si="14"/>
        <v>0</v>
      </c>
      <c r="I71" s="3">
        <f t="shared" si="16"/>
        <v>0</v>
      </c>
      <c r="J71" s="3">
        <f t="shared" si="20"/>
        <v>0</v>
      </c>
      <c r="K71" s="3">
        <f t="shared" ref="K71:K76" si="22">$B71</f>
        <v>0</v>
      </c>
      <c r="L71" s="2">
        <f>$B71*0.9</f>
        <v>0</v>
      </c>
      <c r="M71" s="3">
        <f t="shared" ref="M71:O71" si="23">$B71</f>
        <v>0</v>
      </c>
      <c r="N71" s="3">
        <f t="shared" si="23"/>
        <v>0</v>
      </c>
      <c r="O71" s="3">
        <f t="shared" si="23"/>
        <v>0</v>
      </c>
      <c r="T71" s="4">
        <f>'System Parameters'!E22</f>
        <v>0</v>
      </c>
      <c r="U71" s="4">
        <f>'System Parameters'!F22</f>
        <v>0</v>
      </c>
      <c r="V71" s="4">
        <f>'System Parameters'!G22</f>
        <v>0</v>
      </c>
      <c r="W71" s="2">
        <f>'System Parameters'!H22</f>
        <v>0</v>
      </c>
    </row>
    <row r="72" customHeight="1" spans="1:23">
      <c r="A72" s="2">
        <f>'System Parameters'!A23</f>
        <v>0</v>
      </c>
      <c r="B72" s="2">
        <f>'System Parameters'!B23</f>
        <v>0</v>
      </c>
      <c r="C72" s="2">
        <f>'System Parameters'!C23</f>
        <v>0</v>
      </c>
      <c r="D72" s="2">
        <f t="shared" si="1"/>
        <v>0</v>
      </c>
      <c r="E72" s="2">
        <f t="shared" si="3"/>
        <v>0</v>
      </c>
      <c r="F72" s="2">
        <f t="shared" si="7"/>
        <v>0</v>
      </c>
      <c r="G72" s="2">
        <f t="shared" si="12"/>
        <v>0</v>
      </c>
      <c r="H72" s="2">
        <f t="shared" si="14"/>
        <v>0</v>
      </c>
      <c r="I72" s="2">
        <f t="shared" si="16"/>
        <v>0</v>
      </c>
      <c r="J72" s="2">
        <f t="shared" si="20"/>
        <v>0</v>
      </c>
      <c r="K72" s="2">
        <f t="shared" si="22"/>
        <v>0</v>
      </c>
      <c r="L72" s="2">
        <f t="shared" ref="L72:O72" si="24">$B72</f>
        <v>0</v>
      </c>
      <c r="M72" s="2">
        <f t="shared" si="24"/>
        <v>0</v>
      </c>
      <c r="N72" s="2">
        <f t="shared" si="24"/>
        <v>0</v>
      </c>
      <c r="O72" s="2">
        <f t="shared" si="24"/>
        <v>0</v>
      </c>
      <c r="T72" s="2">
        <f>'System Parameters'!E23</f>
        <v>0</v>
      </c>
      <c r="U72" s="2">
        <f>'System Parameters'!F23</f>
        <v>0</v>
      </c>
      <c r="V72" s="2">
        <f>'System Parameters'!G23</f>
        <v>0</v>
      </c>
      <c r="W72" s="2">
        <f>'System Parameters'!H23</f>
        <v>0</v>
      </c>
    </row>
    <row r="73" customHeight="1" spans="1:23">
      <c r="A73" s="2" t="str">
        <f>'System Parameters'!A24</f>
        <v>Radio</v>
      </c>
      <c r="B73" s="2">
        <f>'System Parameters'!B24</f>
        <v>0</v>
      </c>
      <c r="C73" s="2">
        <f>'System Parameters'!C24</f>
        <v>0</v>
      </c>
      <c r="D73" s="2">
        <f t="shared" si="1"/>
        <v>0</v>
      </c>
      <c r="E73" s="2">
        <f t="shared" si="3"/>
        <v>0</v>
      </c>
      <c r="F73" s="2">
        <f t="shared" si="7"/>
        <v>0</v>
      </c>
      <c r="G73" s="2">
        <f t="shared" si="12"/>
        <v>0</v>
      </c>
      <c r="H73" s="2">
        <f t="shared" si="14"/>
        <v>0</v>
      </c>
      <c r="I73" s="2">
        <f t="shared" si="16"/>
        <v>0</v>
      </c>
      <c r="J73" s="2">
        <f t="shared" si="20"/>
        <v>0</v>
      </c>
      <c r="K73" s="2">
        <f t="shared" si="22"/>
        <v>0</v>
      </c>
      <c r="L73" s="2">
        <f t="shared" ref="L73:O73" si="25">$B73</f>
        <v>0</v>
      </c>
      <c r="M73" s="2">
        <f t="shared" si="25"/>
        <v>0</v>
      </c>
      <c r="N73" s="2">
        <f t="shared" si="25"/>
        <v>0</v>
      </c>
      <c r="O73" s="2">
        <f t="shared" si="25"/>
        <v>0</v>
      </c>
      <c r="T73" s="2">
        <f>'System Parameters'!E24</f>
        <v>0</v>
      </c>
      <c r="U73" s="2">
        <f>'System Parameters'!F24</f>
        <v>0</v>
      </c>
      <c r="V73" s="2">
        <f>'System Parameters'!G24</f>
        <v>0</v>
      </c>
      <c r="W73" s="2">
        <f>'System Parameters'!H24</f>
        <v>0</v>
      </c>
    </row>
    <row r="74" customHeight="1" spans="1:23">
      <c r="A74" s="2" t="str">
        <f>'System Parameters'!A26</f>
        <v>Standby Power</v>
      </c>
      <c r="B74" s="3">
        <f>'System Parameters'!B26</f>
        <v>17</v>
      </c>
      <c r="C74" s="2" t="str">
        <f>'System Parameters'!C26</f>
        <v>mW</v>
      </c>
      <c r="D74" s="3">
        <f t="shared" si="1"/>
        <v>17</v>
      </c>
      <c r="E74" s="3">
        <f t="shared" si="3"/>
        <v>17</v>
      </c>
      <c r="F74" s="3">
        <f t="shared" si="7"/>
        <v>17</v>
      </c>
      <c r="G74" s="3">
        <f t="shared" si="12"/>
        <v>17</v>
      </c>
      <c r="H74" s="3">
        <f t="shared" si="14"/>
        <v>17</v>
      </c>
      <c r="I74" s="3">
        <f t="shared" si="16"/>
        <v>17</v>
      </c>
      <c r="J74" s="3">
        <f t="shared" si="20"/>
        <v>17</v>
      </c>
      <c r="K74" s="3">
        <f t="shared" si="22"/>
        <v>17</v>
      </c>
      <c r="L74" s="3">
        <f t="shared" ref="L74:L76" si="26">$B74</f>
        <v>17</v>
      </c>
      <c r="M74" s="2">
        <f>$B74*0.9</f>
        <v>15.3</v>
      </c>
      <c r="N74" s="3">
        <f t="shared" ref="N74:O74" si="27">$B74</f>
        <v>17</v>
      </c>
      <c r="O74" s="3">
        <f t="shared" si="27"/>
        <v>17</v>
      </c>
      <c r="T74" s="4">
        <f>'System Parameters'!E26</f>
        <v>0</v>
      </c>
      <c r="U74" s="4">
        <f>'System Parameters'!F26</f>
        <v>0.9</v>
      </c>
      <c r="V74" s="4">
        <f>'System Parameters'!G26</f>
        <v>0.5</v>
      </c>
      <c r="W74" s="2">
        <f>'System Parameters'!H26</f>
        <v>0</v>
      </c>
    </row>
    <row r="75" customHeight="1" spans="1:23">
      <c r="A75" s="2" t="str">
        <f>'System Parameters'!A27</f>
        <v>TX Power</v>
      </c>
      <c r="B75" s="3">
        <f>'System Parameters'!B27</f>
        <v>149</v>
      </c>
      <c r="C75" s="2" t="str">
        <f>'System Parameters'!C27</f>
        <v>mW</v>
      </c>
      <c r="D75" s="3">
        <f t="shared" si="1"/>
        <v>149</v>
      </c>
      <c r="E75" s="3">
        <f t="shared" si="3"/>
        <v>149</v>
      </c>
      <c r="F75" s="3">
        <f t="shared" si="7"/>
        <v>149</v>
      </c>
      <c r="G75" s="3">
        <f t="shared" si="12"/>
        <v>149</v>
      </c>
      <c r="H75" s="3">
        <f t="shared" si="14"/>
        <v>149</v>
      </c>
      <c r="I75" s="3">
        <f t="shared" si="16"/>
        <v>149</v>
      </c>
      <c r="J75" s="3">
        <f t="shared" si="20"/>
        <v>149</v>
      </c>
      <c r="K75" s="3">
        <f t="shared" si="22"/>
        <v>149</v>
      </c>
      <c r="L75" s="3">
        <f t="shared" si="26"/>
        <v>149</v>
      </c>
      <c r="M75" s="3">
        <f t="shared" ref="M75:M76" si="28">$B75</f>
        <v>149</v>
      </c>
      <c r="N75" s="2">
        <f>$B75*0.9</f>
        <v>134.1</v>
      </c>
      <c r="O75" s="3">
        <f>$B75</f>
        <v>149</v>
      </c>
      <c r="T75" s="4">
        <f>'System Parameters'!E27</f>
        <v>0</v>
      </c>
      <c r="U75" s="4">
        <f>'System Parameters'!F27</f>
        <v>0.05</v>
      </c>
      <c r="V75" s="4">
        <f>'System Parameters'!G27</f>
        <v>0.25</v>
      </c>
      <c r="W75" s="2">
        <f>'System Parameters'!H27</f>
        <v>0</v>
      </c>
    </row>
    <row r="76" customHeight="1" spans="1:23">
      <c r="A76" s="2" t="str">
        <f>'System Parameters'!A28</f>
        <v>RX Power</v>
      </c>
      <c r="B76" s="3">
        <f>'System Parameters'!B28</f>
        <v>66</v>
      </c>
      <c r="C76" s="2" t="str">
        <f>'System Parameters'!C28</f>
        <v>mW</v>
      </c>
      <c r="D76" s="3">
        <f t="shared" si="1"/>
        <v>66</v>
      </c>
      <c r="E76" s="3">
        <f t="shared" si="3"/>
        <v>66</v>
      </c>
      <c r="F76" s="3">
        <f t="shared" si="7"/>
        <v>66</v>
      </c>
      <c r="G76" s="3">
        <f t="shared" si="12"/>
        <v>66</v>
      </c>
      <c r="H76" s="3">
        <f t="shared" si="14"/>
        <v>66</v>
      </c>
      <c r="I76" s="3">
        <f t="shared" si="16"/>
        <v>66</v>
      </c>
      <c r="J76" s="3">
        <f t="shared" si="20"/>
        <v>66</v>
      </c>
      <c r="K76" s="3">
        <f t="shared" si="22"/>
        <v>66</v>
      </c>
      <c r="L76" s="3">
        <f t="shared" si="26"/>
        <v>66</v>
      </c>
      <c r="M76" s="3">
        <f t="shared" si="28"/>
        <v>66</v>
      </c>
      <c r="N76" s="3">
        <f>$B76</f>
        <v>66</v>
      </c>
      <c r="O76" s="2">
        <f>$B76*0.9</f>
        <v>59.4</v>
      </c>
      <c r="T76" s="4">
        <f>'System Parameters'!E28</f>
        <v>0</v>
      </c>
      <c r="U76" s="4">
        <f>'System Parameters'!F28</f>
        <v>0.05</v>
      </c>
      <c r="V76" s="4">
        <f>'System Parameters'!G28</f>
        <v>0.25</v>
      </c>
      <c r="W76" s="2">
        <f>'System Parameters'!H28</f>
        <v>0</v>
      </c>
    </row>
    <row r="77" customHeight="1" spans="1:23">
      <c r="A77" s="2">
        <f>'System Parameters'!A29</f>
        <v>0</v>
      </c>
      <c r="B77" s="2">
        <f>'System Parameters'!B29</f>
        <v>0</v>
      </c>
      <c r="C77" s="2">
        <f>'System Parameters'!C29</f>
        <v>0</v>
      </c>
      <c r="D77" s="2">
        <f>'System Parameters'!D29</f>
        <v>0</v>
      </c>
      <c r="T77" s="2">
        <f>'System Parameters'!E29</f>
        <v>0</v>
      </c>
      <c r="U77" s="2">
        <f>'System Parameters'!F29</f>
        <v>0</v>
      </c>
      <c r="V77" s="2">
        <f>'System Parameters'!G29</f>
        <v>0</v>
      </c>
      <c r="W77" s="2">
        <f>'System Parameters'!H29</f>
        <v>0</v>
      </c>
    </row>
    <row r="78" customHeight="1" spans="1:23">
      <c r="A78" s="2">
        <f>'System Parameters'!A30</f>
        <v>0</v>
      </c>
      <c r="B78" s="2">
        <f>'System Parameters'!B30</f>
        <v>0</v>
      </c>
      <c r="C78" s="2">
        <f>'System Parameters'!C30</f>
        <v>0</v>
      </c>
      <c r="D78" s="2">
        <f>'System Parameters'!D30</f>
        <v>0</v>
      </c>
      <c r="T78" s="2">
        <f>'System Parameters'!E30</f>
        <v>12</v>
      </c>
      <c r="U78" s="2">
        <f>'System Parameters'!F30</f>
        <v>8</v>
      </c>
      <c r="V78" s="2">
        <f>'System Parameters'!G30</f>
        <v>4</v>
      </c>
      <c r="W78" s="2" t="str">
        <f>'System Parameters'!H30</f>
        <v>hours/day typical usage</v>
      </c>
    </row>
    <row r="79" customHeight="1" spans="1:23">
      <c r="A79" s="2" t="str">
        <f>'System Parameters'!A31</f>
        <v>Battery</v>
      </c>
      <c r="B79" s="2">
        <f>'System Parameters'!B31</f>
        <v>0</v>
      </c>
      <c r="C79" s="2">
        <f>'System Parameters'!C31</f>
        <v>0</v>
      </c>
      <c r="D79" s="2">
        <f>'System Parameters'!D31</f>
        <v>0</v>
      </c>
      <c r="T79" s="2">
        <f>'System Parameters'!E31</f>
        <v>0</v>
      </c>
      <c r="U79" s="2">
        <f>'System Parameters'!F31</f>
        <v>0</v>
      </c>
      <c r="V79" s="2">
        <f>'System Parameters'!G31</f>
        <v>0</v>
      </c>
      <c r="W79" s="2">
        <f>'System Parameters'!H31</f>
        <v>0</v>
      </c>
    </row>
    <row r="80" customHeight="1" spans="1:23">
      <c r="A80" s="2" t="str">
        <f>'System Parameters'!A32</f>
        <v>Capacity</v>
      </c>
      <c r="B80" s="3">
        <f>'System Parameters'!B32</f>
        <v>500</v>
      </c>
      <c r="C80" s="2" t="str">
        <f>'System Parameters'!C32</f>
        <v>mAh</v>
      </c>
      <c r="D80" s="2">
        <f>'System Parameters'!D32</f>
        <v>0</v>
      </c>
      <c r="T80" s="2">
        <f>'System Parameters'!E32</f>
        <v>0</v>
      </c>
      <c r="U80" s="2">
        <f>'System Parameters'!F32</f>
        <v>0</v>
      </c>
      <c r="V80" s="2">
        <f>'System Parameters'!G32</f>
        <v>0</v>
      </c>
      <c r="W80" s="2">
        <f>'System Parameters'!H32</f>
        <v>0</v>
      </c>
    </row>
    <row r="81" customHeight="1" spans="1:23">
      <c r="A81" s="2" t="str">
        <f>'System Parameters'!A33</f>
        <v>Nominal Voltage</v>
      </c>
      <c r="B81" s="3">
        <f>'System Parameters'!B33</f>
        <v>4</v>
      </c>
      <c r="C81" s="2" t="str">
        <f>'System Parameters'!C33</f>
        <v>V</v>
      </c>
      <c r="D81" s="2">
        <f>'System Parameters'!D33</f>
        <v>0</v>
      </c>
      <c r="T81" s="2">
        <f>'System Parameters'!E33</f>
        <v>0</v>
      </c>
      <c r="U81" s="2">
        <f>'System Parameters'!F33</f>
        <v>0</v>
      </c>
      <c r="V81" s="2">
        <f>'System Parameters'!G33</f>
        <v>0</v>
      </c>
      <c r="W81" s="2">
        <f>'System Parameters'!H33</f>
        <v>0</v>
      </c>
    </row>
    <row r="82" customHeight="1" spans="1:23">
      <c r="A82" s="2" t="str">
        <f>'System Parameters'!A34</f>
        <v>Regulator Efficiency</v>
      </c>
      <c r="B82" s="4">
        <f>'System Parameters'!B34</f>
        <v>0.9</v>
      </c>
      <c r="C82" s="2">
        <f>'System Parameters'!C34</f>
        <v>0</v>
      </c>
      <c r="D82" s="2">
        <f>'System Parameters'!D34</f>
        <v>0</v>
      </c>
      <c r="T82" s="2">
        <f>'System Parameters'!E34</f>
        <v>0</v>
      </c>
      <c r="U82" s="2">
        <f>'System Parameters'!F34</f>
        <v>0</v>
      </c>
      <c r="V82" s="2">
        <f>'System Parameters'!G34</f>
        <v>0</v>
      </c>
      <c r="W82" s="2">
        <f>'System Parameters'!H34</f>
        <v>0</v>
      </c>
    </row>
    <row r="83" customHeight="1" spans="1:22">
      <c r="A83" s="2">
        <f>'System Parameters'!A35</f>
        <v>0</v>
      </c>
      <c r="B83" s="2">
        <f>'System Parameters'!B35</f>
        <v>0</v>
      </c>
      <c r="C83" s="2">
        <f>'System Parameters'!C35</f>
        <v>0</v>
      </c>
      <c r="D83" s="2">
        <f>'System Parameters'!D35</f>
        <v>0</v>
      </c>
      <c r="O83" s="2">
        <f>'System Parameters'!E35</f>
        <v>0</v>
      </c>
      <c r="P83" s="2">
        <f>'System Parameters'!F35</f>
        <v>0</v>
      </c>
      <c r="Q83" s="2">
        <f>'System Parameters'!G35</f>
        <v>0</v>
      </c>
      <c r="R83" s="2">
        <f>'System Parameters'!H35</f>
        <v>0</v>
      </c>
      <c r="S83" s="2">
        <f>'System Parameters'!I35</f>
        <v>0</v>
      </c>
      <c r="T83" s="2">
        <f>'System Parameters'!J35</f>
        <v>0</v>
      </c>
      <c r="U83" s="2" t="e">
        <f>#REF!</f>
        <v>#REF!</v>
      </c>
      <c r="V83" s="2" t="e">
        <f>#REF!</f>
        <v>#REF!</v>
      </c>
    </row>
    <row r="84" customHeight="1" spans="1:22">
      <c r="A84" s="2">
        <f>'System Parameters'!A36</f>
        <v>0</v>
      </c>
      <c r="B84" s="2">
        <f>'System Parameters'!B36</f>
        <v>0</v>
      </c>
      <c r="C84" s="2">
        <f>'System Parameters'!C36</f>
        <v>0</v>
      </c>
      <c r="D84" s="2">
        <f>'System Parameters'!D36</f>
        <v>0</v>
      </c>
      <c r="O84" s="2">
        <f>'System Parameters'!E36</f>
        <v>0</v>
      </c>
      <c r="P84" s="2">
        <f>'System Parameters'!F36</f>
        <v>0</v>
      </c>
      <c r="Q84" s="2">
        <f>'System Parameters'!G36</f>
        <v>0</v>
      </c>
      <c r="R84" s="2">
        <f>'System Parameters'!H36</f>
        <v>0</v>
      </c>
      <c r="S84" s="2">
        <f>'System Parameters'!I36</f>
        <v>0</v>
      </c>
      <c r="T84" s="2">
        <f>'System Parameters'!J36</f>
        <v>0</v>
      </c>
      <c r="U84" s="2" t="e">
        <f>#REF!</f>
        <v>#REF!</v>
      </c>
      <c r="V84" s="2" t="e">
        <f>#REF!</f>
        <v>#REF!</v>
      </c>
    </row>
    <row r="85" customHeight="1" spans="1:22">
      <c r="A85" s="2">
        <f>'System Parameters'!A37</f>
        <v>0</v>
      </c>
      <c r="B85" s="2">
        <f>'System Parameters'!K24</f>
        <v>0</v>
      </c>
      <c r="C85" s="2">
        <f>'System Parameters'!L24</f>
        <v>0</v>
      </c>
      <c r="D85" s="2">
        <f>'System Parameters'!M24</f>
        <v>0</v>
      </c>
      <c r="O85" s="2">
        <f>'System Parameters'!N24</f>
        <v>0</v>
      </c>
      <c r="P85" s="2">
        <f>'System Parameters'!O24</f>
        <v>0</v>
      </c>
      <c r="Q85" s="2">
        <f>'System Parameters'!P24</f>
        <v>0</v>
      </c>
      <c r="R85" s="2">
        <f>'System Parameters'!Q24</f>
        <v>0</v>
      </c>
      <c r="S85" s="2">
        <f>'System Parameters'!I37</f>
        <v>0</v>
      </c>
      <c r="T85" s="2">
        <f>'System Parameters'!J37</f>
        <v>0</v>
      </c>
      <c r="U85" s="2" t="e">
        <f>#REF!</f>
        <v>#REF!</v>
      </c>
      <c r="V85" s="2" t="e">
        <f>#REF!</f>
        <v>#REF!</v>
      </c>
    </row>
    <row r="86" customHeight="1" spans="1:22">
      <c r="A86" s="2" t="str">
        <f>'System Parameters'!A38</f>
        <v>REFLECTIONS : WHAT DID YOU LEARN FROM ANALYZING YOUR POWER.  TALK ABOUT SOME POTENTIAL TRADEOFFS. </v>
      </c>
      <c r="B86" s="2">
        <f>'System Parameters'!K25</f>
        <v>0</v>
      </c>
      <c r="C86" s="2" t="e">
        <f>#REF!</f>
        <v>#REF!</v>
      </c>
      <c r="D86" s="2" t="e">
        <f>#REF!</f>
        <v>#REF!</v>
      </c>
      <c r="O86" s="2" t="e">
        <f>#REF!</f>
        <v>#REF!</v>
      </c>
      <c r="P86" s="2" t="e">
        <f>#REF!</f>
        <v>#REF!</v>
      </c>
      <c r="Q86" s="2" t="e">
        <f>#REF!</f>
        <v>#REF!</v>
      </c>
      <c r="R86" s="2">
        <f>'System Parameters'!Q25</f>
        <v>0</v>
      </c>
      <c r="S86" s="2">
        <f>'System Parameters'!I38</f>
        <v>0</v>
      </c>
      <c r="T86" s="2">
        <f>'System Parameters'!J38</f>
        <v>0</v>
      </c>
      <c r="U86" s="2" t="e">
        <f>#REF!</f>
        <v>#REF!</v>
      </c>
      <c r="V86" s="2" t="e">
        <f>#REF!</f>
        <v>#REF!</v>
      </c>
    </row>
    <row r="87" customHeight="1" spans="1:22">
      <c r="A87" s="2" t="str">
        <f>'System Parameters'!L25</f>
        <v>Total power in profile (mw)</v>
      </c>
      <c r="B87" s="2">
        <f>'System Parameters'!M25</f>
        <v>0</v>
      </c>
      <c r="C87" s="2">
        <f>'System Parameters'!N25</f>
        <v>0</v>
      </c>
      <c r="R87" s="2">
        <f>'System Parameters'!Q26</f>
        <v>0</v>
      </c>
      <c r="S87" s="2">
        <f>'System Parameters'!I39</f>
        <v>0</v>
      </c>
      <c r="T87" s="2">
        <f>'System Parameters'!J39</f>
        <v>0</v>
      </c>
      <c r="U87" s="2">
        <f>'System Parameters'!K39</f>
        <v>0</v>
      </c>
      <c r="V87" s="2">
        <f>'System Parameters'!L39</f>
        <v>0</v>
      </c>
    </row>
    <row r="88" customHeight="1" spans="1:22">
      <c r="A88" s="2" t="str">
        <f>'System Parameters'!L26</f>
        <v>"off"</v>
      </c>
      <c r="B88" s="2">
        <f>SUMPRODUCT(B56:B76,$T56:$T76)</f>
        <v>0</v>
      </c>
      <c r="C88" s="2" t="str">
        <f>'System Parameters'!N26</f>
        <v>mW</v>
      </c>
      <c r="D88" s="2">
        <f t="shared" ref="D88:O88" si="29">SUMPRODUCT(D56:D76,$T56:$T76)</f>
        <v>0</v>
      </c>
      <c r="E88" s="2">
        <f t="shared" si="29"/>
        <v>0</v>
      </c>
      <c r="F88" s="2">
        <f t="shared" si="29"/>
        <v>0</v>
      </c>
      <c r="G88" s="2">
        <f t="shared" si="29"/>
        <v>0</v>
      </c>
      <c r="H88" s="2">
        <f t="shared" si="29"/>
        <v>0</v>
      </c>
      <c r="I88" s="2">
        <f t="shared" si="29"/>
        <v>0</v>
      </c>
      <c r="J88" s="2">
        <f t="shared" si="29"/>
        <v>0</v>
      </c>
      <c r="K88" s="2">
        <f t="shared" si="29"/>
        <v>0</v>
      </c>
      <c r="L88" s="2">
        <f t="shared" si="29"/>
        <v>0</v>
      </c>
      <c r="M88" s="2">
        <f t="shared" si="29"/>
        <v>0</v>
      </c>
      <c r="N88" s="2">
        <f t="shared" si="29"/>
        <v>0</v>
      </c>
      <c r="O88" s="2">
        <f t="shared" si="29"/>
        <v>0</v>
      </c>
      <c r="R88" s="2">
        <f>'System Parameters'!Q27</f>
        <v>0</v>
      </c>
      <c r="S88" s="2">
        <f>'System Parameters'!I40</f>
        <v>0</v>
      </c>
      <c r="T88" s="2">
        <f>'System Parameters'!J40</f>
        <v>0</v>
      </c>
      <c r="U88" s="2">
        <f>'System Parameters'!K40</f>
        <v>0</v>
      </c>
      <c r="V88" s="2">
        <f>'System Parameters'!L40</f>
        <v>0</v>
      </c>
    </row>
    <row r="89" customHeight="1" spans="1:22">
      <c r="A89" s="2" t="str">
        <f>'System Parameters'!L27</f>
        <v>"sensing"</v>
      </c>
      <c r="B89" s="2">
        <f>SUMPRODUCT(B56:B76,$U56:$U76)</f>
        <v>35.75</v>
      </c>
      <c r="C89" s="2" t="str">
        <f>'System Parameters'!N27</f>
        <v>mW</v>
      </c>
      <c r="D89" s="2">
        <f t="shared" ref="D89:O89" si="30">SUMPRODUCT(D56:D76,$U56:$U76)</f>
        <v>35.255</v>
      </c>
      <c r="E89" s="2">
        <f t="shared" si="30"/>
        <v>35.555</v>
      </c>
      <c r="F89" s="2">
        <f t="shared" si="30"/>
        <v>35.75</v>
      </c>
      <c r="G89" s="2">
        <f t="shared" si="30"/>
        <v>35.55</v>
      </c>
      <c r="H89" s="2">
        <f t="shared" si="30"/>
        <v>35.715</v>
      </c>
      <c r="I89" s="2">
        <f t="shared" si="30"/>
        <v>35.705</v>
      </c>
      <c r="J89" s="2">
        <f t="shared" si="30"/>
        <v>35.75</v>
      </c>
      <c r="K89" s="2">
        <f t="shared" si="30"/>
        <v>35.75</v>
      </c>
      <c r="L89" s="2">
        <f t="shared" si="30"/>
        <v>35.75</v>
      </c>
      <c r="M89" s="2">
        <f t="shared" si="30"/>
        <v>34.22</v>
      </c>
      <c r="N89" s="2">
        <f t="shared" si="30"/>
        <v>35.005</v>
      </c>
      <c r="O89" s="2">
        <f t="shared" si="30"/>
        <v>35.42</v>
      </c>
      <c r="R89" s="2">
        <f>'System Parameters'!Q28</f>
        <v>0</v>
      </c>
      <c r="S89" s="2">
        <f>'System Parameters'!I41</f>
        <v>0</v>
      </c>
      <c r="T89" s="2">
        <f>'System Parameters'!J41</f>
        <v>0</v>
      </c>
      <c r="U89" s="2">
        <f>'System Parameters'!K41</f>
        <v>0</v>
      </c>
      <c r="V89" s="2">
        <f>'System Parameters'!L41</f>
        <v>0</v>
      </c>
    </row>
    <row r="90" customHeight="1" spans="1:22">
      <c r="A90" s="2" t="str">
        <f>'System Parameters'!L28</f>
        <v>"interactive"</v>
      </c>
      <c r="B90" s="2">
        <f>SUMPRODUCT(B56:B76,$V56:$V76)</f>
        <v>181.05</v>
      </c>
      <c r="C90" s="2" t="str">
        <f>'System Parameters'!N28</f>
        <v>mW</v>
      </c>
      <c r="D90" s="2">
        <f t="shared" ref="D90:O90" si="31">SUMPRODUCT(D56:D76,$V56:$V76)</f>
        <v>175.11</v>
      </c>
      <c r="E90" s="2">
        <f t="shared" si="31"/>
        <v>180.66</v>
      </c>
      <c r="F90" s="2">
        <f t="shared" si="31"/>
        <v>181.05</v>
      </c>
      <c r="G90" s="2">
        <f t="shared" si="31"/>
        <v>176.05</v>
      </c>
      <c r="H90" s="2">
        <f t="shared" si="31"/>
        <v>180.56</v>
      </c>
      <c r="I90" s="2">
        <f t="shared" si="31"/>
        <v>180.99</v>
      </c>
      <c r="J90" s="2">
        <f t="shared" si="31"/>
        <v>181.05</v>
      </c>
      <c r="K90" s="2">
        <f t="shared" si="31"/>
        <v>181.05</v>
      </c>
      <c r="L90" s="2">
        <f t="shared" si="31"/>
        <v>181.05</v>
      </c>
      <c r="M90" s="2">
        <f t="shared" si="31"/>
        <v>180.2</v>
      </c>
      <c r="N90" s="2">
        <f t="shared" si="31"/>
        <v>177.325</v>
      </c>
      <c r="O90" s="2">
        <f t="shared" si="31"/>
        <v>179.4</v>
      </c>
      <c r="R90" s="2">
        <f>'System Parameters'!Q29</f>
        <v>0</v>
      </c>
      <c r="S90" s="2">
        <f>'System Parameters'!I42</f>
        <v>0</v>
      </c>
      <c r="T90" s="2">
        <f>'System Parameters'!J42</f>
        <v>0</v>
      </c>
      <c r="U90" s="2">
        <f>'System Parameters'!K42</f>
        <v>0</v>
      </c>
      <c r="V90" s="2">
        <f>'System Parameters'!L42</f>
        <v>0</v>
      </c>
    </row>
    <row r="91" customHeight="1" spans="1:22">
      <c r="A91" s="2">
        <f>'System Parameters'!L29</f>
        <v>0</v>
      </c>
      <c r="B91" s="2">
        <f>'System Parameters'!M29</f>
        <v>0</v>
      </c>
      <c r="C91" s="2">
        <f>'System Parameters'!N29</f>
        <v>0</v>
      </c>
      <c r="D91" s="2">
        <f>'System Parameters'!O29</f>
        <v>0</v>
      </c>
      <c r="E91" s="2">
        <f>'System Parameters'!P29</f>
        <v>0</v>
      </c>
      <c r="F91" s="2">
        <f>'System Parameters'!Q30</f>
        <v>0</v>
      </c>
      <c r="G91" s="2">
        <f>'System Parameters'!I43</f>
        <v>0</v>
      </c>
      <c r="H91" s="2">
        <f>'System Parameters'!J43</f>
        <v>0</v>
      </c>
      <c r="I91" s="2">
        <f>'System Parameters'!K43</f>
        <v>0</v>
      </c>
      <c r="J91" s="2">
        <f>'System Parameters'!L43</f>
        <v>0</v>
      </c>
      <c r="K91" s="2">
        <f>'System Parameters'!M43</f>
        <v>0</v>
      </c>
      <c r="L91" s="2">
        <f>'System Parameters'!N43</f>
        <v>0</v>
      </c>
      <c r="M91" s="2">
        <f>'System Parameters'!O43</f>
        <v>0</v>
      </c>
      <c r="N91" s="2">
        <f>'System Parameters'!P43</f>
        <v>0</v>
      </c>
      <c r="O91" s="2">
        <f>'System Parameters'!Q43</f>
        <v>0</v>
      </c>
      <c r="R91" s="2">
        <f>'System Parameters'!Q30</f>
        <v>0</v>
      </c>
      <c r="S91" s="2">
        <f>'System Parameters'!I43</f>
        <v>0</v>
      </c>
      <c r="T91" s="2">
        <f>'System Parameters'!J43</f>
        <v>0</v>
      </c>
      <c r="U91" s="2">
        <f>'System Parameters'!K43</f>
        <v>0</v>
      </c>
      <c r="V91" s="2">
        <f>'System Parameters'!L43</f>
        <v>0</v>
      </c>
    </row>
    <row r="92" customHeight="1" spans="1:22">
      <c r="A92" s="2" t="str">
        <f>'System Parameters'!L30</f>
        <v>Effective Battery Capacity</v>
      </c>
      <c r="B92" s="2">
        <f>'System Parameters'!M30</f>
        <v>0</v>
      </c>
      <c r="C92" s="2">
        <f>'System Parameters'!N30</f>
        <v>0</v>
      </c>
      <c r="D92" s="2">
        <f>'System Parameters'!O30</f>
        <v>0</v>
      </c>
      <c r="E92" s="2">
        <f>'System Parameters'!P30</f>
        <v>0</v>
      </c>
      <c r="F92" s="2">
        <f>'System Parameters'!Q31</f>
        <v>0</v>
      </c>
      <c r="G92" s="2">
        <f>'System Parameters'!I44</f>
        <v>0</v>
      </c>
      <c r="H92" s="2">
        <f>'System Parameters'!J44</f>
        <v>0</v>
      </c>
      <c r="I92" s="2">
        <f>'System Parameters'!K44</f>
        <v>0</v>
      </c>
      <c r="J92" s="2">
        <f>'System Parameters'!L44</f>
        <v>0</v>
      </c>
      <c r="K92" s="2">
        <f>'System Parameters'!M44</f>
        <v>0</v>
      </c>
      <c r="L92" s="2">
        <f>'System Parameters'!N44</f>
        <v>0</v>
      </c>
      <c r="M92" s="2">
        <f>'System Parameters'!O44</f>
        <v>0</v>
      </c>
      <c r="N92" s="2">
        <f>'System Parameters'!P44</f>
        <v>0</v>
      </c>
      <c r="O92" s="2">
        <f>'System Parameters'!Q44</f>
        <v>0</v>
      </c>
      <c r="P92" s="2">
        <f>'System Parameters'!O30</f>
        <v>0</v>
      </c>
      <c r="Q92" s="2">
        <f>'System Parameters'!P30</f>
        <v>0</v>
      </c>
      <c r="R92" s="2">
        <f>'System Parameters'!Q31</f>
        <v>0</v>
      </c>
      <c r="S92" s="2">
        <f>'System Parameters'!I44</f>
        <v>0</v>
      </c>
      <c r="T92" s="2">
        <f>'System Parameters'!J44</f>
        <v>0</v>
      </c>
      <c r="U92" s="2">
        <f>'System Parameters'!K44</f>
        <v>0</v>
      </c>
      <c r="V92" s="2">
        <f>'System Parameters'!L44</f>
        <v>0</v>
      </c>
    </row>
    <row r="93" customHeight="1" spans="1:22">
      <c r="A93" s="2">
        <f>'System Parameters'!L31</f>
        <v>0</v>
      </c>
      <c r="B93" s="2">
        <f>B80*B81*B82</f>
        <v>1800</v>
      </c>
      <c r="C93" s="2" t="str">
        <f>'System Parameters'!N31</f>
        <v>mW*h</v>
      </c>
      <c r="D93" s="2">
        <f t="shared" ref="D93:O93" si="32">$B93</f>
        <v>1800</v>
      </c>
      <c r="E93" s="2">
        <f t="shared" si="32"/>
        <v>1800</v>
      </c>
      <c r="F93" s="2">
        <f t="shared" si="32"/>
        <v>1800</v>
      </c>
      <c r="G93" s="2">
        <f t="shared" si="32"/>
        <v>1800</v>
      </c>
      <c r="H93" s="2">
        <f t="shared" si="32"/>
        <v>1800</v>
      </c>
      <c r="I93" s="2">
        <f t="shared" si="32"/>
        <v>1800</v>
      </c>
      <c r="J93" s="2">
        <f t="shared" si="32"/>
        <v>1800</v>
      </c>
      <c r="K93" s="2">
        <f t="shared" si="32"/>
        <v>1800</v>
      </c>
      <c r="L93" s="2">
        <f t="shared" si="32"/>
        <v>1800</v>
      </c>
      <c r="M93" s="2">
        <f t="shared" si="32"/>
        <v>1800</v>
      </c>
      <c r="N93" s="2">
        <f t="shared" si="32"/>
        <v>1800</v>
      </c>
      <c r="O93" s="2">
        <f t="shared" si="32"/>
        <v>1800</v>
      </c>
      <c r="P93" s="2">
        <f>'System Parameters'!O31</f>
        <v>0</v>
      </c>
      <c r="Q93" s="2">
        <f>'System Parameters'!P31</f>
        <v>0</v>
      </c>
      <c r="R93" s="2">
        <f>'System Parameters'!Q32</f>
        <v>0</v>
      </c>
      <c r="S93" s="2">
        <f>'System Parameters'!I45</f>
        <v>0</v>
      </c>
      <c r="T93" s="2">
        <f>'System Parameters'!J45</f>
        <v>0</v>
      </c>
      <c r="U93" s="2">
        <f>'System Parameters'!K45</f>
        <v>0</v>
      </c>
      <c r="V93" s="2">
        <f>'System Parameters'!L45</f>
        <v>0</v>
      </c>
    </row>
    <row r="94" customHeight="1" spans="1:22">
      <c r="A94" s="2">
        <f>'System Parameters'!L32</f>
        <v>0</v>
      </c>
      <c r="B94" s="2">
        <f>'System Parameters'!M32</f>
        <v>0</v>
      </c>
      <c r="C94" s="2">
        <f>'System Parameters'!N32</f>
        <v>0</v>
      </c>
      <c r="D94" s="2">
        <f>'System Parameters'!O32</f>
        <v>0</v>
      </c>
      <c r="E94" s="2">
        <f>'System Parameters'!P32</f>
        <v>0</v>
      </c>
      <c r="F94" s="2">
        <f>'System Parameters'!Q33</f>
        <v>0</v>
      </c>
      <c r="G94" s="2">
        <f>'System Parameters'!I46</f>
        <v>0</v>
      </c>
      <c r="H94" s="2">
        <f>'System Parameters'!J46</f>
        <v>0</v>
      </c>
      <c r="I94" s="2">
        <f>'System Parameters'!K46</f>
        <v>0</v>
      </c>
      <c r="J94" s="2">
        <f>'System Parameters'!L46</f>
        <v>0</v>
      </c>
      <c r="K94" s="2">
        <f>'System Parameters'!M46</f>
        <v>0</v>
      </c>
      <c r="L94" s="2">
        <f>'System Parameters'!N46</f>
        <v>0</v>
      </c>
      <c r="M94" s="2">
        <f>'System Parameters'!O46</f>
        <v>0</v>
      </c>
      <c r="N94" s="2">
        <f>'System Parameters'!P46</f>
        <v>0</v>
      </c>
      <c r="O94" s="2">
        <f>'System Parameters'!Q46</f>
        <v>0</v>
      </c>
      <c r="P94" s="2">
        <f>'System Parameters'!O32</f>
        <v>0</v>
      </c>
      <c r="Q94" s="2">
        <f>'System Parameters'!P32</f>
        <v>0</v>
      </c>
      <c r="R94" s="2">
        <f>'System Parameters'!Q33</f>
        <v>0</v>
      </c>
      <c r="S94" s="2">
        <f>'System Parameters'!I46</f>
        <v>0</v>
      </c>
      <c r="T94" s="2">
        <f>'System Parameters'!J46</f>
        <v>0</v>
      </c>
      <c r="U94" s="2">
        <f>'System Parameters'!K46</f>
        <v>0</v>
      </c>
      <c r="V94" s="2">
        <f>'System Parameters'!L46</f>
        <v>0</v>
      </c>
    </row>
    <row r="95" customHeight="1" spans="1:22">
      <c r="A95" s="2" t="str">
        <f>'System Parameters'!L33</f>
        <v>Days of Use</v>
      </c>
      <c r="B95" s="2">
        <f>B93/($T78*B88+$U78*B89+$V78*B90)</f>
        <v>1.78182538111265</v>
      </c>
      <c r="C95" s="2" t="str">
        <f>'System Parameters'!N33</f>
        <v>days</v>
      </c>
      <c r="D95" s="2">
        <f t="shared" ref="D95:O95" si="33">D93/($T78*D88+$U78*D89+$V78*D90)</f>
        <v>1.83209836332546</v>
      </c>
      <c r="E95" s="2">
        <f t="shared" si="33"/>
        <v>1.78734559320014</v>
      </c>
      <c r="F95" s="2">
        <f t="shared" si="33"/>
        <v>1.78182538111265</v>
      </c>
      <c r="G95" s="2">
        <f t="shared" si="33"/>
        <v>1.82075662553105</v>
      </c>
      <c r="H95" s="2">
        <f t="shared" si="33"/>
        <v>1.78578515020437</v>
      </c>
      <c r="I95" s="2">
        <f t="shared" si="33"/>
        <v>1.78288431061807</v>
      </c>
      <c r="J95" s="2">
        <f t="shared" si="33"/>
        <v>1.78182538111265</v>
      </c>
      <c r="K95" s="2">
        <f t="shared" si="33"/>
        <v>1.78182538111265</v>
      </c>
      <c r="L95" s="2">
        <f t="shared" si="33"/>
        <v>1.78182538111265</v>
      </c>
      <c r="M95" s="2">
        <f t="shared" si="33"/>
        <v>1.80984555984556</v>
      </c>
      <c r="N95" s="2">
        <f t="shared" si="33"/>
        <v>1.81939474801383</v>
      </c>
      <c r="O95" s="2">
        <f t="shared" si="33"/>
        <v>1.798273657289</v>
      </c>
      <c r="P95" s="2">
        <f>'System Parameters'!O33</f>
        <v>0</v>
      </c>
      <c r="Q95" s="2">
        <f>'System Parameters'!P33</f>
        <v>0</v>
      </c>
      <c r="R95" s="2">
        <f>'System Parameters'!Q34</f>
        <v>0</v>
      </c>
      <c r="S95" s="2">
        <f>'System Parameters'!I47</f>
        <v>0</v>
      </c>
      <c r="T95" s="2">
        <f>'System Parameters'!J47</f>
        <v>0</v>
      </c>
      <c r="U95" s="2">
        <f>'System Parameters'!K47</f>
        <v>0</v>
      </c>
      <c r="V95" s="2">
        <f>'System Parameters'!L47</f>
        <v>0</v>
      </c>
    </row>
    <row r="96" customHeight="1" spans="1:22">
      <c r="A96" s="2" t="str">
        <f>'System Parameters'!L34</f>
        <v>Hours of Use</v>
      </c>
      <c r="B96" s="2">
        <f>B95*24</f>
        <v>42.7638091467036</v>
      </c>
      <c r="C96" s="2" t="str">
        <f>'System Parameters'!N34</f>
        <v>hours</v>
      </c>
      <c r="D96" s="2">
        <f t="shared" ref="D96:O96" si="34">D95*24</f>
        <v>43.9703607198111</v>
      </c>
      <c r="E96" s="2">
        <f t="shared" si="34"/>
        <v>42.8962942368034</v>
      </c>
      <c r="F96" s="2">
        <f t="shared" si="34"/>
        <v>42.7638091467036</v>
      </c>
      <c r="G96" s="2">
        <f t="shared" si="34"/>
        <v>43.6981590127453</v>
      </c>
      <c r="H96" s="2">
        <f t="shared" si="34"/>
        <v>42.858843604905</v>
      </c>
      <c r="I96" s="2">
        <f t="shared" si="34"/>
        <v>42.7892234548336</v>
      </c>
      <c r="J96" s="2">
        <f t="shared" si="34"/>
        <v>42.7638091467036</v>
      </c>
      <c r="K96" s="2">
        <f t="shared" si="34"/>
        <v>42.7638091467036</v>
      </c>
      <c r="L96" s="2">
        <f t="shared" si="34"/>
        <v>42.7638091467036</v>
      </c>
      <c r="M96" s="2">
        <f t="shared" si="34"/>
        <v>43.4362934362934</v>
      </c>
      <c r="N96" s="2">
        <f t="shared" si="34"/>
        <v>43.6654739523319</v>
      </c>
      <c r="O96" s="2">
        <f t="shared" si="34"/>
        <v>43.1585677749361</v>
      </c>
      <c r="P96" s="2">
        <f>'System Parameters'!O34</f>
        <v>0</v>
      </c>
      <c r="Q96" s="2">
        <f>'System Parameters'!P34</f>
        <v>0</v>
      </c>
      <c r="R96" s="2">
        <f>'System Parameters'!Q35</f>
        <v>0</v>
      </c>
      <c r="S96" s="2">
        <f>'System Parameters'!I48</f>
        <v>0</v>
      </c>
      <c r="T96" s="2">
        <f>'System Parameters'!J48</f>
        <v>0</v>
      </c>
      <c r="U96" s="2">
        <f>'System Parameters'!K48</f>
        <v>0</v>
      </c>
      <c r="V96" s="2">
        <f>'System Parameters'!L48</f>
        <v>0</v>
      </c>
    </row>
    <row r="97" customHeight="1" spans="1:22">
      <c r="A97" s="2">
        <f>'System Parameters'!A49</f>
        <v>0</v>
      </c>
      <c r="B97" s="2">
        <f>'System Parameters'!K36</f>
        <v>0</v>
      </c>
      <c r="C97" s="2">
        <f>'System Parameters'!L36</f>
        <v>0</v>
      </c>
      <c r="D97" s="2">
        <f>'System Parameters'!M36</f>
        <v>0</v>
      </c>
      <c r="O97" s="2">
        <f>'System Parameters'!N36</f>
        <v>0</v>
      </c>
      <c r="P97" s="2">
        <f>'System Parameters'!O36</f>
        <v>0</v>
      </c>
      <c r="Q97" s="2">
        <f>'System Parameters'!P36</f>
        <v>0</v>
      </c>
      <c r="R97" s="2">
        <f>'System Parameters'!Q36</f>
        <v>0</v>
      </c>
      <c r="S97" s="2">
        <f>'System Parameters'!I49</f>
        <v>0</v>
      </c>
      <c r="T97" s="2">
        <f>'System Parameters'!J49</f>
        <v>0</v>
      </c>
      <c r="U97" s="2">
        <f>'System Parameters'!K49</f>
        <v>0</v>
      </c>
      <c r="V97" s="2">
        <f>'System Parameters'!L49</f>
        <v>0</v>
      </c>
    </row>
    <row r="98" customHeight="1" spans="1:22">
      <c r="A98" s="1" t="s">
        <v>42</v>
      </c>
      <c r="B98" s="2">
        <f>'System Parameters'!K37</f>
        <v>0</v>
      </c>
      <c r="C98" s="2">
        <f>'System Parameters'!L37</f>
        <v>0</v>
      </c>
      <c r="D98" s="5">
        <f t="shared" ref="D98:O98" si="35">D96/$B96-1</f>
        <v>0.0282143147952121</v>
      </c>
      <c r="E98" s="5">
        <f t="shared" si="35"/>
        <v>0.00309806569488025</v>
      </c>
      <c r="F98" s="5">
        <f t="shared" si="35"/>
        <v>0</v>
      </c>
      <c r="G98" s="5">
        <f t="shared" si="35"/>
        <v>0.0218490795063726</v>
      </c>
      <c r="H98" s="5">
        <f t="shared" si="35"/>
        <v>0.00222231040914322</v>
      </c>
      <c r="I98" s="5">
        <f t="shared" si="35"/>
        <v>0.000594294770206005</v>
      </c>
      <c r="J98" s="5">
        <f t="shared" si="35"/>
        <v>0</v>
      </c>
      <c r="K98" s="5">
        <f t="shared" si="35"/>
        <v>0</v>
      </c>
      <c r="L98" s="5">
        <f t="shared" si="35"/>
        <v>0</v>
      </c>
      <c r="M98" s="5">
        <f t="shared" si="35"/>
        <v>0.0157255469755471</v>
      </c>
      <c r="N98" s="5">
        <f t="shared" si="35"/>
        <v>0.0210847635797602</v>
      </c>
      <c r="O98" s="5">
        <f t="shared" si="35"/>
        <v>0.00923113810741683</v>
      </c>
      <c r="P98" s="2">
        <f>'System Parameters'!O37</f>
        <v>0</v>
      </c>
      <c r="Q98" s="2">
        <f>'System Parameters'!P37</f>
        <v>0</v>
      </c>
      <c r="R98" s="2">
        <f>'System Parameters'!Q37</f>
        <v>0</v>
      </c>
      <c r="S98" s="2">
        <f>'System Parameters'!I50</f>
        <v>0</v>
      </c>
      <c r="T98" s="2">
        <f>'System Parameters'!J50</f>
        <v>0</v>
      </c>
      <c r="U98" s="2">
        <f>'System Parameters'!K50</f>
        <v>0</v>
      </c>
      <c r="V98" s="2">
        <f>'System Parameters'!L50</f>
        <v>0</v>
      </c>
    </row>
    <row r="99" customHeight="1" spans="1:22">
      <c r="A99" s="1" t="s">
        <v>43</v>
      </c>
      <c r="B99" s="2">
        <f>'System Parameters'!K38</f>
        <v>0</v>
      </c>
      <c r="C99" s="2">
        <f>'System Parameters'!L38</f>
        <v>0</v>
      </c>
      <c r="D99" s="1" t="s">
        <v>44</v>
      </c>
      <c r="E99" s="1" t="s">
        <v>45</v>
      </c>
      <c r="F99" s="1" t="s">
        <v>46</v>
      </c>
      <c r="G99" s="1" t="s">
        <v>47</v>
      </c>
      <c r="H99" s="1" t="s">
        <v>48</v>
      </c>
      <c r="I99" s="1" t="s">
        <v>49</v>
      </c>
      <c r="J99" s="1" t="s">
        <v>50</v>
      </c>
      <c r="K99" s="1" t="s">
        <v>51</v>
      </c>
      <c r="L99" s="1" t="s">
        <v>52</v>
      </c>
      <c r="M99" s="1" t="s">
        <v>53</v>
      </c>
      <c r="N99" s="1" t="s">
        <v>54</v>
      </c>
      <c r="O99" s="1" t="s">
        <v>55</v>
      </c>
      <c r="P99" s="2">
        <f>'System Parameters'!O38</f>
        <v>0</v>
      </c>
      <c r="Q99" s="2">
        <f>'System Parameters'!P38</f>
        <v>0</v>
      </c>
      <c r="R99" s="2">
        <f>'System Parameters'!Q38</f>
        <v>0</v>
      </c>
      <c r="S99" s="2">
        <f>'System Parameters'!I51</f>
        <v>0</v>
      </c>
      <c r="T99" s="2">
        <f>'System Parameters'!J51</f>
        <v>0</v>
      </c>
      <c r="U99" s="2">
        <f>'System Parameters'!K51</f>
        <v>0</v>
      </c>
      <c r="V99" s="2">
        <f>'System Parameters'!L51</f>
        <v>0</v>
      </c>
    </row>
    <row r="100" customHeight="1" spans="1:22">
      <c r="A100" s="2">
        <f>'System Parameters'!A52</f>
        <v>0</v>
      </c>
      <c r="B100" s="2">
        <f>'System Parameters'!B52</f>
        <v>0</v>
      </c>
      <c r="C100" s="2">
        <f>'System Parameters'!C52</f>
        <v>0</v>
      </c>
      <c r="D100" s="2">
        <f>'System Parameters'!D52</f>
        <v>0</v>
      </c>
      <c r="O100" s="2">
        <f>'System Parameters'!E52</f>
        <v>0</v>
      </c>
      <c r="P100" s="2">
        <f>'System Parameters'!F52</f>
        <v>0</v>
      </c>
      <c r="Q100" s="2">
        <f>'System Parameters'!G52</f>
        <v>0</v>
      </c>
      <c r="R100" s="2">
        <f>'System Parameters'!H52</f>
        <v>0</v>
      </c>
      <c r="S100" s="2">
        <f>'System Parameters'!I52</f>
        <v>0</v>
      </c>
      <c r="T100" s="2">
        <f>'System Parameters'!J52</f>
        <v>0</v>
      </c>
      <c r="U100" s="2">
        <f>'System Parameters'!K52</f>
        <v>0</v>
      </c>
      <c r="V100" s="2">
        <f>'System Parameters'!L52</f>
        <v>0</v>
      </c>
    </row>
    <row r="101" customHeight="1" spans="1:22">
      <c r="A101" s="2">
        <f>'System Parameters'!A53</f>
        <v>0</v>
      </c>
      <c r="B101" s="2">
        <f>'System Parameters'!B53</f>
        <v>0</v>
      </c>
      <c r="C101" s="2">
        <f>'System Parameters'!C53</f>
        <v>0</v>
      </c>
      <c r="D101" s="2">
        <f>'System Parameters'!D53</f>
        <v>0</v>
      </c>
      <c r="O101" s="2">
        <f>'System Parameters'!E53</f>
        <v>0</v>
      </c>
      <c r="P101" s="2">
        <f>'System Parameters'!F53</f>
        <v>0</v>
      </c>
      <c r="Q101" s="2">
        <f>'System Parameters'!G53</f>
        <v>0</v>
      </c>
      <c r="R101" s="2">
        <f>'System Parameters'!H53</f>
        <v>0</v>
      </c>
      <c r="S101" s="2">
        <f>'System Parameters'!I53</f>
        <v>0</v>
      </c>
      <c r="T101" s="2">
        <f>'System Parameters'!J53</f>
        <v>0</v>
      </c>
      <c r="U101" s="2">
        <f>'System Parameters'!K53</f>
        <v>0</v>
      </c>
      <c r="V101" s="2">
        <f>'System Parameters'!L53</f>
        <v>0</v>
      </c>
    </row>
    <row r="102" customHeight="1" spans="1:22">
      <c r="A102" s="2">
        <f>'System Parameters'!A54</f>
        <v>0</v>
      </c>
      <c r="B102" s="2">
        <f>'System Parameters'!B54</f>
        <v>0</v>
      </c>
      <c r="C102" s="2">
        <f>'System Parameters'!C54</f>
        <v>0</v>
      </c>
      <c r="D102" s="2">
        <f>'System Parameters'!D54</f>
        <v>0</v>
      </c>
      <c r="O102" s="2">
        <f>'System Parameters'!E54</f>
        <v>0</v>
      </c>
      <c r="P102" s="2">
        <f>'System Parameters'!F54</f>
        <v>0</v>
      </c>
      <c r="Q102" s="2">
        <f>'System Parameters'!G54</f>
        <v>0</v>
      </c>
      <c r="R102" s="2">
        <f>'System Parameters'!H54</f>
        <v>0</v>
      </c>
      <c r="S102" s="2">
        <f>'System Parameters'!I54</f>
        <v>0</v>
      </c>
      <c r="T102" s="2">
        <f>'System Parameters'!J54</f>
        <v>0</v>
      </c>
      <c r="U102" s="2">
        <f>'System Parameters'!K54</f>
        <v>0</v>
      </c>
      <c r="V102" s="2">
        <f>'System Parameters'!L54</f>
        <v>0</v>
      </c>
    </row>
    <row r="103" customHeight="1" spans="1:22">
      <c r="A103" s="2">
        <f>'System Parameters'!A55</f>
        <v>0</v>
      </c>
      <c r="B103" s="2">
        <f>'System Parameters'!B55</f>
        <v>0</v>
      </c>
      <c r="C103" s="2">
        <f>'System Parameters'!C55</f>
        <v>0</v>
      </c>
      <c r="D103" s="2">
        <f>'System Parameters'!D55</f>
        <v>0</v>
      </c>
      <c r="O103" s="2">
        <f>'System Parameters'!E55</f>
        <v>0</v>
      </c>
      <c r="P103" s="2">
        <f>'System Parameters'!F55</f>
        <v>0</v>
      </c>
      <c r="Q103" s="2">
        <f>'System Parameters'!G55</f>
        <v>0</v>
      </c>
      <c r="R103" s="2">
        <f>'System Parameters'!H55</f>
        <v>0</v>
      </c>
      <c r="S103" s="2">
        <f>'System Parameters'!I55</f>
        <v>0</v>
      </c>
      <c r="T103" s="2">
        <f>'System Parameters'!J55</f>
        <v>0</v>
      </c>
      <c r="U103" s="2">
        <f>'System Parameters'!K55</f>
        <v>0</v>
      </c>
      <c r="V103" s="2">
        <f>'System Parameters'!L55</f>
        <v>0</v>
      </c>
    </row>
    <row r="104" customHeight="1" spans="1:22">
      <c r="A104" s="2">
        <f>'System Parameters'!A56</f>
        <v>0</v>
      </c>
      <c r="B104" s="2">
        <f>'System Parameters'!B56</f>
        <v>0</v>
      </c>
      <c r="C104" s="2">
        <f>'System Parameters'!C56</f>
        <v>0</v>
      </c>
      <c r="D104" s="2">
        <f>'System Parameters'!D56</f>
        <v>0</v>
      </c>
      <c r="O104" s="2">
        <f>'System Parameters'!E56</f>
        <v>0</v>
      </c>
      <c r="P104" s="2">
        <f>'System Parameters'!F56</f>
        <v>0</v>
      </c>
      <c r="Q104" s="2">
        <f>'System Parameters'!G56</f>
        <v>0</v>
      </c>
      <c r="R104" s="2">
        <f>'System Parameters'!H56</f>
        <v>0</v>
      </c>
      <c r="S104" s="2">
        <f>'System Parameters'!I56</f>
        <v>0</v>
      </c>
      <c r="T104" s="2">
        <f>'System Parameters'!J56</f>
        <v>0</v>
      </c>
      <c r="U104" s="2">
        <f>'System Parameters'!K56</f>
        <v>0</v>
      </c>
      <c r="V104" s="2">
        <f>'System Parameters'!L56</f>
        <v>0</v>
      </c>
    </row>
    <row r="105" customHeight="1" spans="1:22">
      <c r="A105" s="2">
        <f>'System Parameters'!A57</f>
        <v>0</v>
      </c>
      <c r="B105" s="2">
        <f>'System Parameters'!B57</f>
        <v>0</v>
      </c>
      <c r="C105" s="2">
        <f>'System Parameters'!C57</f>
        <v>0</v>
      </c>
      <c r="D105" s="2">
        <f>'System Parameters'!D57</f>
        <v>0</v>
      </c>
      <c r="O105" s="2">
        <f>'System Parameters'!E57</f>
        <v>0</v>
      </c>
      <c r="P105" s="2">
        <f>'System Parameters'!F57</f>
        <v>0</v>
      </c>
      <c r="Q105" s="2">
        <f>'System Parameters'!G57</f>
        <v>0</v>
      </c>
      <c r="R105" s="2">
        <f>'System Parameters'!H57</f>
        <v>0</v>
      </c>
      <c r="S105" s="2">
        <f>'System Parameters'!I57</f>
        <v>0</v>
      </c>
      <c r="T105" s="2">
        <f>'System Parameters'!J57</f>
        <v>0</v>
      </c>
      <c r="U105" s="2">
        <f>'System Parameters'!K57</f>
        <v>0</v>
      </c>
      <c r="V105" s="2">
        <f>'System Parameters'!L57</f>
        <v>0</v>
      </c>
    </row>
    <row r="106" customHeight="1" spans="1:22">
      <c r="A106" s="2">
        <f>'System Parameters'!A58</f>
        <v>0</v>
      </c>
      <c r="B106" s="2">
        <f>'System Parameters'!B58</f>
        <v>0</v>
      </c>
      <c r="C106" s="2">
        <f>'System Parameters'!C58</f>
        <v>0</v>
      </c>
      <c r="D106" s="2">
        <f>'System Parameters'!D58</f>
        <v>0</v>
      </c>
      <c r="O106" s="2">
        <f>'System Parameters'!E58</f>
        <v>0</v>
      </c>
      <c r="P106" s="2">
        <f>'System Parameters'!F58</f>
        <v>0</v>
      </c>
      <c r="Q106" s="2">
        <f>'System Parameters'!G58</f>
        <v>0</v>
      </c>
      <c r="R106" s="2">
        <f>'System Parameters'!H58</f>
        <v>0</v>
      </c>
      <c r="S106" s="2">
        <f>'System Parameters'!I58</f>
        <v>0</v>
      </c>
      <c r="T106" s="2">
        <f>'System Parameters'!J58</f>
        <v>0</v>
      </c>
      <c r="U106" s="2">
        <f>'System Parameters'!K58</f>
        <v>0</v>
      </c>
      <c r="V106" s="2">
        <f>'System Parameters'!L58</f>
        <v>0</v>
      </c>
    </row>
    <row r="107" customHeight="1" spans="1:22">
      <c r="A107" s="2">
        <f>'System Parameters'!A59</f>
        <v>0</v>
      </c>
      <c r="B107" s="2">
        <f>'System Parameters'!B59</f>
        <v>0</v>
      </c>
      <c r="C107" s="2">
        <f>'System Parameters'!C59</f>
        <v>0</v>
      </c>
      <c r="D107" s="2">
        <f>'System Parameters'!D59</f>
        <v>0</v>
      </c>
      <c r="O107" s="2">
        <f>'System Parameters'!E59</f>
        <v>0</v>
      </c>
      <c r="P107" s="2">
        <f>'System Parameters'!F59</f>
        <v>0</v>
      </c>
      <c r="Q107" s="2">
        <f>'System Parameters'!G59</f>
        <v>0</v>
      </c>
      <c r="R107" s="2">
        <f>'System Parameters'!H59</f>
        <v>0</v>
      </c>
      <c r="S107" s="2">
        <f>'System Parameters'!I59</f>
        <v>0</v>
      </c>
      <c r="T107" s="2">
        <f>'System Parameters'!J59</f>
        <v>0</v>
      </c>
      <c r="U107" s="2">
        <f>'System Parameters'!K59</f>
        <v>0</v>
      </c>
      <c r="V107" s="2">
        <f>'System Parameters'!L59</f>
        <v>0</v>
      </c>
    </row>
    <row r="108" customHeight="1" spans="1:22">
      <c r="A108" s="2">
        <f>'System Parameters'!A60</f>
        <v>0</v>
      </c>
      <c r="B108" s="2">
        <f>'System Parameters'!B60</f>
        <v>0</v>
      </c>
      <c r="C108" s="2">
        <f>'System Parameters'!C60</f>
        <v>0</v>
      </c>
      <c r="D108" s="2">
        <f>'System Parameters'!D60</f>
        <v>0</v>
      </c>
      <c r="O108" s="2">
        <f>'System Parameters'!E60</f>
        <v>0</v>
      </c>
      <c r="P108" s="2">
        <f>'System Parameters'!F60</f>
        <v>0</v>
      </c>
      <c r="Q108" s="2">
        <f>'System Parameters'!G60</f>
        <v>0</v>
      </c>
      <c r="R108" s="2">
        <f>'System Parameters'!H60</f>
        <v>0</v>
      </c>
      <c r="S108" s="2">
        <f>'System Parameters'!I60</f>
        <v>0</v>
      </c>
      <c r="T108" s="2">
        <f>'System Parameters'!J60</f>
        <v>0</v>
      </c>
      <c r="U108" s="2">
        <f>'System Parameters'!K60</f>
        <v>0</v>
      </c>
      <c r="V108" s="2">
        <f>'System Parameters'!L60</f>
        <v>0</v>
      </c>
    </row>
    <row r="109" customHeight="1" spans="1:22">
      <c r="A109" s="2">
        <f>'System Parameters'!A61</f>
        <v>0</v>
      </c>
      <c r="B109" s="2">
        <f>'System Parameters'!B61</f>
        <v>0</v>
      </c>
      <c r="C109" s="2">
        <f>'System Parameters'!C61</f>
        <v>0</v>
      </c>
      <c r="D109" s="2">
        <f>'System Parameters'!D61</f>
        <v>0</v>
      </c>
      <c r="O109" s="2">
        <f>'System Parameters'!E61</f>
        <v>0</v>
      </c>
      <c r="P109" s="2">
        <f>'System Parameters'!F61</f>
        <v>0</v>
      </c>
      <c r="Q109" s="2">
        <f>'System Parameters'!G61</f>
        <v>0</v>
      </c>
      <c r="R109" s="2">
        <f>'System Parameters'!H61</f>
        <v>0</v>
      </c>
      <c r="S109" s="2">
        <f>'System Parameters'!I61</f>
        <v>0</v>
      </c>
      <c r="T109" s="2">
        <f>'System Parameters'!J61</f>
        <v>0</v>
      </c>
      <c r="U109" s="2">
        <f>'System Parameters'!K61</f>
        <v>0</v>
      </c>
      <c r="V109" s="2">
        <f>'System Parameters'!L61</f>
        <v>0</v>
      </c>
    </row>
    <row r="110" customHeight="1" spans="1:22">
      <c r="A110" s="2">
        <f>'System Parameters'!A62</f>
        <v>0</v>
      </c>
      <c r="B110" s="2">
        <f>'System Parameters'!B62</f>
        <v>0</v>
      </c>
      <c r="C110" s="2">
        <f>'System Parameters'!C62</f>
        <v>0</v>
      </c>
      <c r="D110" s="2">
        <f>'System Parameters'!D62</f>
        <v>0</v>
      </c>
      <c r="O110" s="2">
        <f>'System Parameters'!E62</f>
        <v>0</v>
      </c>
      <c r="P110" s="2">
        <f>'System Parameters'!F62</f>
        <v>0</v>
      </c>
      <c r="Q110" s="2">
        <f>'System Parameters'!G62</f>
        <v>0</v>
      </c>
      <c r="R110" s="2">
        <f>'System Parameters'!H62</f>
        <v>0</v>
      </c>
      <c r="S110" s="2">
        <f>'System Parameters'!I62</f>
        <v>0</v>
      </c>
      <c r="T110" s="2">
        <f>'System Parameters'!J62</f>
        <v>0</v>
      </c>
      <c r="U110" s="2">
        <f>'System Parameters'!K62</f>
        <v>0</v>
      </c>
      <c r="V110" s="2">
        <f>'System Parameters'!L62</f>
        <v>0</v>
      </c>
    </row>
    <row r="111" customHeight="1" spans="1:22">
      <c r="A111" s="2">
        <f>'System Parameters'!A63</f>
        <v>0</v>
      </c>
      <c r="B111" s="2">
        <f>'System Parameters'!B63</f>
        <v>0</v>
      </c>
      <c r="C111" s="2">
        <f>'System Parameters'!C63</f>
        <v>0</v>
      </c>
      <c r="D111" s="2">
        <f>'System Parameters'!D63</f>
        <v>0</v>
      </c>
      <c r="O111" s="2">
        <f>'System Parameters'!E63</f>
        <v>0</v>
      </c>
      <c r="P111" s="2">
        <f>'System Parameters'!F63</f>
        <v>0</v>
      </c>
      <c r="Q111" s="2">
        <f>'System Parameters'!G63</f>
        <v>0</v>
      </c>
      <c r="R111" s="2">
        <f>'System Parameters'!H63</f>
        <v>0</v>
      </c>
      <c r="S111" s="2">
        <f>'System Parameters'!I63</f>
        <v>0</v>
      </c>
      <c r="T111" s="2">
        <f>'System Parameters'!J63</f>
        <v>0</v>
      </c>
      <c r="U111" s="2">
        <f>'System Parameters'!K63</f>
        <v>0</v>
      </c>
      <c r="V111" s="2">
        <f>'System Parameters'!L63</f>
        <v>0</v>
      </c>
    </row>
    <row r="112" customHeight="1" spans="1:22">
      <c r="A112" s="2">
        <f>'System Parameters'!A64</f>
        <v>0</v>
      </c>
      <c r="B112" s="2">
        <f>'System Parameters'!B64</f>
        <v>0</v>
      </c>
      <c r="C112" s="2">
        <f>'System Parameters'!C64</f>
        <v>0</v>
      </c>
      <c r="D112" s="2">
        <f>'System Parameters'!D64</f>
        <v>0</v>
      </c>
      <c r="O112" s="2">
        <f>'System Parameters'!E64</f>
        <v>0</v>
      </c>
      <c r="P112" s="2">
        <f>'System Parameters'!F64</f>
        <v>0</v>
      </c>
      <c r="Q112" s="2">
        <f>'System Parameters'!G64</f>
        <v>0</v>
      </c>
      <c r="R112" s="2">
        <f>'System Parameters'!H64</f>
        <v>0</v>
      </c>
      <c r="S112" s="2">
        <f>'System Parameters'!I64</f>
        <v>0</v>
      </c>
      <c r="T112" s="2">
        <f>'System Parameters'!J64</f>
        <v>0</v>
      </c>
      <c r="U112" s="2">
        <f>'System Parameters'!K64</f>
        <v>0</v>
      </c>
      <c r="V112" s="2">
        <f>'System Parameters'!L64</f>
        <v>0</v>
      </c>
    </row>
    <row r="113" customHeight="1" spans="1:22">
      <c r="A113" s="2">
        <f>'System Parameters'!A65</f>
        <v>0</v>
      </c>
      <c r="B113" s="2">
        <f>'System Parameters'!B65</f>
        <v>0</v>
      </c>
      <c r="C113" s="2">
        <f>'System Parameters'!C65</f>
        <v>0</v>
      </c>
      <c r="D113" s="2">
        <f>'System Parameters'!D65</f>
        <v>0</v>
      </c>
      <c r="O113" s="2">
        <f>'System Parameters'!E65</f>
        <v>0</v>
      </c>
      <c r="P113" s="2">
        <f>'System Parameters'!F65</f>
        <v>0</v>
      </c>
      <c r="Q113" s="2">
        <f>'System Parameters'!G65</f>
        <v>0</v>
      </c>
      <c r="R113" s="2">
        <f>'System Parameters'!H65</f>
        <v>0</v>
      </c>
      <c r="S113" s="2">
        <f>'System Parameters'!I65</f>
        <v>0</v>
      </c>
      <c r="T113" s="2">
        <f>'System Parameters'!J65</f>
        <v>0</v>
      </c>
      <c r="U113" s="2">
        <f>'System Parameters'!K65</f>
        <v>0</v>
      </c>
      <c r="V113" s="2">
        <f>'System Parameters'!L65</f>
        <v>0</v>
      </c>
    </row>
    <row r="114" customHeight="1" spans="1:22">
      <c r="A114" s="2">
        <f>'System Parameters'!A66</f>
        <v>0</v>
      </c>
      <c r="B114" s="2">
        <f>'System Parameters'!B66</f>
        <v>0</v>
      </c>
      <c r="C114" s="2">
        <f>'System Parameters'!C66</f>
        <v>0</v>
      </c>
      <c r="D114" s="2">
        <f>'System Parameters'!D66</f>
        <v>0</v>
      </c>
      <c r="O114" s="2">
        <f>'System Parameters'!E66</f>
        <v>0</v>
      </c>
      <c r="P114" s="2">
        <f>'System Parameters'!F66</f>
        <v>0</v>
      </c>
      <c r="Q114" s="2">
        <f>'System Parameters'!G66</f>
        <v>0</v>
      </c>
      <c r="R114" s="2">
        <f>'System Parameters'!H66</f>
        <v>0</v>
      </c>
      <c r="S114" s="2">
        <f>'System Parameters'!I66</f>
        <v>0</v>
      </c>
      <c r="T114" s="2">
        <f>'System Parameters'!J66</f>
        <v>0</v>
      </c>
      <c r="U114" s="2">
        <f>'System Parameters'!K66</f>
        <v>0</v>
      </c>
      <c r="V114" s="2">
        <f>'System Parameters'!L66</f>
        <v>0</v>
      </c>
    </row>
    <row r="115" customHeight="1" spans="1:22">
      <c r="A115" s="2">
        <f>'System Parameters'!A67</f>
        <v>0</v>
      </c>
      <c r="B115" s="2">
        <f>'System Parameters'!B67</f>
        <v>0</v>
      </c>
      <c r="C115" s="2">
        <f>'System Parameters'!C67</f>
        <v>0</v>
      </c>
      <c r="D115" s="2">
        <f>'System Parameters'!D67</f>
        <v>0</v>
      </c>
      <c r="O115" s="2">
        <f>'System Parameters'!E67</f>
        <v>0</v>
      </c>
      <c r="P115" s="2">
        <f>'System Parameters'!F67</f>
        <v>0</v>
      </c>
      <c r="Q115" s="2">
        <f>'System Parameters'!G67</f>
        <v>0</v>
      </c>
      <c r="R115" s="2">
        <f>'System Parameters'!H67</f>
        <v>0</v>
      </c>
      <c r="S115" s="2">
        <f>'System Parameters'!I67</f>
        <v>0</v>
      </c>
      <c r="T115" s="2">
        <f>'System Parameters'!J67</f>
        <v>0</v>
      </c>
      <c r="U115" s="2">
        <f>'System Parameters'!K67</f>
        <v>0</v>
      </c>
      <c r="V115" s="2">
        <f>'System Parameters'!L67</f>
        <v>0</v>
      </c>
    </row>
    <row r="116" customHeight="1" spans="1:22">
      <c r="A116" s="2">
        <f>'System Parameters'!A68</f>
        <v>0</v>
      </c>
      <c r="B116" s="2">
        <f>'System Parameters'!B68</f>
        <v>0</v>
      </c>
      <c r="C116" s="2">
        <f>'System Parameters'!C68</f>
        <v>0</v>
      </c>
      <c r="D116" s="2">
        <f>'System Parameters'!D68</f>
        <v>0</v>
      </c>
      <c r="O116" s="2">
        <f>'System Parameters'!E68</f>
        <v>0</v>
      </c>
      <c r="P116" s="2">
        <f>'System Parameters'!F68</f>
        <v>0</v>
      </c>
      <c r="Q116" s="2">
        <f>'System Parameters'!G68</f>
        <v>0</v>
      </c>
      <c r="R116" s="2">
        <f>'System Parameters'!H68</f>
        <v>0</v>
      </c>
      <c r="S116" s="2">
        <f>'System Parameters'!I68</f>
        <v>0</v>
      </c>
      <c r="T116" s="2">
        <f>'System Parameters'!J68</f>
        <v>0</v>
      </c>
      <c r="U116" s="2">
        <f>'System Parameters'!K68</f>
        <v>0</v>
      </c>
      <c r="V116" s="2">
        <f>'System Parameters'!L68</f>
        <v>0</v>
      </c>
    </row>
    <row r="117" customHeight="1" spans="1:22">
      <c r="A117" s="2">
        <f>'System Parameters'!A69</f>
        <v>0</v>
      </c>
      <c r="B117" s="2">
        <f>'System Parameters'!B69</f>
        <v>0</v>
      </c>
      <c r="C117" s="2">
        <f>'System Parameters'!C69</f>
        <v>0</v>
      </c>
      <c r="D117" s="2">
        <f>'System Parameters'!D69</f>
        <v>0</v>
      </c>
      <c r="O117" s="2">
        <f>'System Parameters'!E69</f>
        <v>0</v>
      </c>
      <c r="P117" s="2">
        <f>'System Parameters'!F69</f>
        <v>0</v>
      </c>
      <c r="Q117" s="2">
        <f>'System Parameters'!G69</f>
        <v>0</v>
      </c>
      <c r="R117" s="2">
        <f>'System Parameters'!H69</f>
        <v>0</v>
      </c>
      <c r="S117" s="2">
        <f>'System Parameters'!I69</f>
        <v>0</v>
      </c>
      <c r="T117" s="2">
        <f>'System Parameters'!J69</f>
        <v>0</v>
      </c>
      <c r="U117" s="2">
        <f>'System Parameters'!K69</f>
        <v>0</v>
      </c>
      <c r="V117" s="2">
        <f>'System Parameters'!L69</f>
        <v>0</v>
      </c>
    </row>
    <row r="118" customHeight="1" spans="1:22">
      <c r="A118" s="2">
        <f>'System Parameters'!A70</f>
        <v>0</v>
      </c>
      <c r="B118" s="2">
        <f>'System Parameters'!B70</f>
        <v>0</v>
      </c>
      <c r="C118" s="2">
        <f>'System Parameters'!C70</f>
        <v>0</v>
      </c>
      <c r="D118" s="2">
        <f>'System Parameters'!D70</f>
        <v>0</v>
      </c>
      <c r="O118" s="2">
        <f>'System Parameters'!E70</f>
        <v>0</v>
      </c>
      <c r="P118" s="2">
        <f>'System Parameters'!F70</f>
        <v>0</v>
      </c>
      <c r="Q118" s="2">
        <f>'System Parameters'!G70</f>
        <v>0</v>
      </c>
      <c r="R118" s="2">
        <f>'System Parameters'!H70</f>
        <v>0</v>
      </c>
      <c r="S118" s="2">
        <f>'System Parameters'!I70</f>
        <v>0</v>
      </c>
      <c r="T118" s="2">
        <f>'System Parameters'!J70</f>
        <v>0</v>
      </c>
      <c r="U118" s="2">
        <f>'System Parameters'!K70</f>
        <v>0</v>
      </c>
      <c r="V118" s="2">
        <f>'System Parameters'!L70</f>
        <v>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System Parameters</vt:lpstr>
      <vt:lpstr>Sensitivity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limengting</cp:lastModifiedBy>
  <dcterms:created xsi:type="dcterms:W3CDTF">2026-02-05T14:44:00Z</dcterms:created>
  <dcterms:modified xsi:type="dcterms:W3CDTF">2026-02-05T23:33:12Z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E635470B72281581618E85690169890C_42</vt:lpwstr>
  </property>
  <property fmtid="{D5CDD505-2E9C-101B-9397-08002B2CF9AE}" pid="3" name="KSOProductBuildVer">
    <vt:lpwstr>1033-6.14.0.8924</vt:lpwstr>
  </property>
</Properties>
</file>